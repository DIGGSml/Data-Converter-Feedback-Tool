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DataConverter\versions\dataconverterV2-0-4\Templates\Import\gINT\"/>
    </mc:Choice>
  </mc:AlternateContent>
  <xr:revisionPtr revIDLastSave="0" documentId="13_ncr:1_{A7158382-E1CF-4063-966F-1741F9ED304F}" xr6:coauthVersionLast="33" xr6:coauthVersionMax="33" xr10:uidLastSave="{00000000-0000-0000-0000-000000000000}"/>
  <bookViews>
    <workbookView xWindow="0" yWindow="0" windowWidth="28800" windowHeight="12225" firstSheet="31" activeTab="35" xr2:uid="{3FA75406-7A36-4B9B-9CEA-89E39FF01A4E}"/>
  </bookViews>
  <sheets>
    <sheet name="Sheet1" sheetId="1" r:id="rId1"/>
    <sheet name="ABANDONMENT" sheetId="2" r:id="rId2"/>
    <sheet name="ATTB READINGS" sheetId="3" r:id="rId3"/>
    <sheet name="ATTERBERG" sheetId="4" r:id="rId4"/>
    <sheet name="CLASSIFICATION FLAGS" sheetId="5" r:id="rId5"/>
    <sheet name="COMP READINGS" sheetId="6" r:id="rId6"/>
    <sheet name="COMPACTION" sheetId="7" r:id="rId7"/>
    <sheet name="CONSOL READINGS" sheetId="8" r:id="rId8"/>
    <sheet name="CONSOLIDATION" sheetId="9" r:id="rId9"/>
    <sheet name="DIRECT SHEAR" sheetId="10" r:id="rId10"/>
    <sheet name="DRILL OPERATOR" sheetId="11" r:id="rId11"/>
    <sheet name="DRILLING FIRM" sheetId="12" r:id="rId12"/>
    <sheet name="DRILLING NOTES" sheetId="13" r:id="rId13"/>
    <sheet name="DSHR READINGS" sheetId="14" r:id="rId14"/>
    <sheet name="FALL HEAD K" sheetId="15" r:id="rId15"/>
    <sheet name="FHK READINGS" sheetId="16" r:id="rId16"/>
    <sheet name="FINE SG" sheetId="17" r:id="rId17"/>
    <sheet name="FINE SG READINGS" sheetId="18" r:id="rId18"/>
    <sheet name="HAMMER" sheetId="19" r:id="rId19"/>
    <sheet name="HYD READINGS" sheetId="20" r:id="rId20"/>
    <sheet name="HYDROMETER" sheetId="21" r:id="rId21"/>
    <sheet name="HYDROMETER CALIBRATIONS" sheetId="22" r:id="rId22"/>
    <sheet name="INCLINOMETER INSTALLATION" sheetId="23" r:id="rId23"/>
    <sheet name="INCLINOMETER READINGS" sheetId="24" r:id="rId24"/>
    <sheet name="INCLINOMETER RESULTS" sheetId="25" r:id="rId25"/>
    <sheet name="INTERBEDDED ROCK" sheetId="26" r:id="rId26"/>
    <sheet name="LAB SPECIMEN" sheetId="27" r:id="rId27"/>
    <sheet name="LITHOLOGY" sheetId="28" r:id="rId28"/>
    <sheet name="LITHOLOGY ROCK" sheetId="29" r:id="rId29"/>
    <sheet name="LITHOLOGY SOIL" sheetId="30" r:id="rId30"/>
    <sheet name="LOAD RINGS" sheetId="31" r:id="rId31"/>
    <sheet name="LOGGED BY" sheetId="32" r:id="rId32"/>
    <sheet name="POINT" sheetId="33" r:id="rId33"/>
    <sheet name="PROJECT" sheetId="34" r:id="rId34"/>
    <sheet name="ROCK UNCONF COMPR" sheetId="35" r:id="rId35"/>
    <sheet name="SAMPLE" sheetId="36" r:id="rId36"/>
    <sheet name="SAMPLING FIRM" sheetId="37" r:id="rId37"/>
    <sheet name="SIEVE" sheetId="38" r:id="rId38"/>
    <sheet name="SV READINGS" sheetId="39" r:id="rId39"/>
    <sheet name="UNC READINGS" sheetId="40" r:id="rId40"/>
    <sheet name="UNCONF COMPR" sheetId="41" r:id="rId41"/>
    <sheet name="WATER LEVELS" sheetId="42" r:id="rId42"/>
    <sheet name="WC DENSITY" sheetId="43" r:id="rId43"/>
    <sheet name="WELL CONSTRUCTION" sheetId="44" r:id="rId44"/>
    <sheet name="WELL DETAILS" sheetId="45" r:id="rId4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4" l="1"/>
  <c r="T5" i="27"/>
  <c r="S5" i="27"/>
  <c r="U5" i="36"/>
  <c r="T5" i="36"/>
  <c r="S5" i="36"/>
  <c r="Q5" i="36"/>
  <c r="R5" i="36"/>
  <c r="AE5" i="33"/>
  <c r="N5" i="4" l="1"/>
  <c r="J5" i="28"/>
  <c r="N5" i="29"/>
  <c r="K5" i="30"/>
  <c r="I5" i="28" s="1"/>
</calcChain>
</file>

<file path=xl/sharedStrings.xml><?xml version="1.0" encoding="utf-8"?>
<sst xmlns="http://schemas.openxmlformats.org/spreadsheetml/2006/main" count="1158" uniqueCount="313">
  <si>
    <t>PointID</t>
  </si>
  <si>
    <t>ItemKey</t>
  </si>
  <si>
    <t>Units</t>
  </si>
  <si>
    <t>Quantity</t>
  </si>
  <si>
    <t>Method</t>
  </si>
  <si>
    <t>Depth</t>
  </si>
  <si>
    <t>Reading</t>
  </si>
  <si>
    <t>WC_Wt_Wet</t>
  </si>
  <si>
    <t>WC_Wt_Dry</t>
  </si>
  <si>
    <t>WC_Wt_Tare</t>
  </si>
  <si>
    <t>Number_Blows</t>
  </si>
  <si>
    <t>Water_Content</t>
  </si>
  <si>
    <t>Cone_Pen_Initial</t>
  </si>
  <si>
    <t>Cone_Pen_Final</t>
  </si>
  <si>
    <t>Liquid_Limit</t>
  </si>
  <si>
    <t>Plastic_Limit</t>
  </si>
  <si>
    <t>Organic</t>
  </si>
  <si>
    <t>Oven Dried LL</t>
  </si>
  <si>
    <t>LLo Tare</t>
  </si>
  <si>
    <t>LLo Wet Wt</t>
  </si>
  <si>
    <t>LLo Dry Wt</t>
  </si>
  <si>
    <t>LLo Number of Blows</t>
  </si>
  <si>
    <t>LLo Water Content</t>
  </si>
  <si>
    <t>Visual Class versus Mechanical</t>
  </si>
  <si>
    <t>No Visual Classification</t>
  </si>
  <si>
    <t>No Mechanical Classification</t>
  </si>
  <si>
    <t>Visual Moisture versus Wc</t>
  </si>
  <si>
    <t>LL PL</t>
  </si>
  <si>
    <t>LL Plus60</t>
  </si>
  <si>
    <t>PL Plus50</t>
  </si>
  <si>
    <t>PI Plus50</t>
  </si>
  <si>
    <t>Wt_Soil_Mold</t>
  </si>
  <si>
    <t>Wet_Density</t>
  </si>
  <si>
    <t>Dry_Density</t>
  </si>
  <si>
    <t>Max_Dry_Density</t>
  </si>
  <si>
    <t>Opt_Moisture_Content</t>
  </si>
  <si>
    <t>Mold_Volume</t>
  </si>
  <si>
    <t>Volume_Units</t>
  </si>
  <si>
    <t>Mold_Weight</t>
  </si>
  <si>
    <t>Weight_Units</t>
  </si>
  <si>
    <t>Stress</t>
  </si>
  <si>
    <t>Average Stress</t>
  </si>
  <si>
    <t>Cummulative_Deflection</t>
  </si>
  <si>
    <t>Strain</t>
  </si>
  <si>
    <t>coefficient consolidation</t>
  </si>
  <si>
    <t>T50</t>
  </si>
  <si>
    <t>T90</t>
  </si>
  <si>
    <t>Cv50</t>
  </si>
  <si>
    <t>Cv90</t>
  </si>
  <si>
    <t>void ratio</t>
  </si>
  <si>
    <t>Square Root Time</t>
  </si>
  <si>
    <t>Time</t>
  </si>
  <si>
    <t>Dial Reading</t>
  </si>
  <si>
    <t>Depth Entered</t>
  </si>
  <si>
    <t>Sample Entered</t>
  </si>
  <si>
    <t>Deflection_Units</t>
  </si>
  <si>
    <t>Load</t>
  </si>
  <si>
    <t>Diameter</t>
  </si>
  <si>
    <t>Diameter in</t>
  </si>
  <si>
    <t>Height</t>
  </si>
  <si>
    <t>Height in</t>
  </si>
  <si>
    <t>Wt_Spec_Tare</t>
  </si>
  <si>
    <t>Wt_Tare</t>
  </si>
  <si>
    <t>Dry_Density_After</t>
  </si>
  <si>
    <t>Water_Content_After</t>
  </si>
  <si>
    <t>Initial Void</t>
  </si>
  <si>
    <t>Specific Gravity</t>
  </si>
  <si>
    <t>Visual Description</t>
  </si>
  <si>
    <t>P0</t>
  </si>
  <si>
    <t>Pmax</t>
  </si>
  <si>
    <t>Preconsolidation Pressure</t>
  </si>
  <si>
    <t>Cr</t>
  </si>
  <si>
    <t>Cc</t>
  </si>
  <si>
    <t>Cv50_Typical</t>
  </si>
  <si>
    <t>Cv90_Typical</t>
  </si>
  <si>
    <t>Depth Entered2</t>
  </si>
  <si>
    <t>Depth Entered3</t>
  </si>
  <si>
    <t>Ring_Area</t>
  </si>
  <si>
    <t>Ring_Ht</t>
  </si>
  <si>
    <t>Cohesion_Calc</t>
  </si>
  <si>
    <t>Friction_Angle_Calc</t>
  </si>
  <si>
    <t>Cohesion_Assigned</t>
  </si>
  <si>
    <t>Friction_Angle_Assigned</t>
  </si>
  <si>
    <t>Soaked</t>
  </si>
  <si>
    <t>Visual</t>
  </si>
  <si>
    <t>Soil Structure</t>
  </si>
  <si>
    <t>Shear Device</t>
  </si>
  <si>
    <t>Wet Density1</t>
  </si>
  <si>
    <t>Wet Density2</t>
  </si>
  <si>
    <t>Wet Density3</t>
  </si>
  <si>
    <t>Wet Weight1</t>
  </si>
  <si>
    <t>Wet Weight2</t>
  </si>
  <si>
    <t>Wet Weight3</t>
  </si>
  <si>
    <t>Volume1</t>
  </si>
  <si>
    <t>Volume2</t>
  </si>
  <si>
    <t>Volume3</t>
  </si>
  <si>
    <t>Moisture1</t>
  </si>
  <si>
    <t>Moisture2</t>
  </si>
  <si>
    <t>Moisture3</t>
  </si>
  <si>
    <t>N Stress kpa1</t>
  </si>
  <si>
    <t>N Stress kpa2</t>
  </si>
  <si>
    <t>N Stress kpa3</t>
  </si>
  <si>
    <t>S Stress kpa1</t>
  </si>
  <si>
    <t>S Stress kpa2</t>
  </si>
  <si>
    <t>S Stress kpa3</t>
  </si>
  <si>
    <t>N Stress psf1</t>
  </si>
  <si>
    <t>N Stress psf2</t>
  </si>
  <si>
    <t>N Stress psf3</t>
  </si>
  <si>
    <t>S Stress psf1</t>
  </si>
  <si>
    <t>S Stress psf2</t>
  </si>
  <si>
    <t>S Stress psf3</t>
  </si>
  <si>
    <t>Description</t>
  </si>
  <si>
    <t>Failure_Stress</t>
  </si>
  <si>
    <t>Normal stress psf</t>
  </si>
  <si>
    <t>Falure Stress psf</t>
  </si>
  <si>
    <t>Not_Used_In_Calc</t>
  </si>
  <si>
    <t>K_Assigned</t>
  </si>
  <si>
    <t>K_Calculated</t>
  </si>
  <si>
    <t>K_Units_Fac</t>
  </si>
  <si>
    <t>Initial_Head</t>
  </si>
  <si>
    <t>Temperature_Units</t>
  </si>
  <si>
    <t>Burette_Area</t>
  </si>
  <si>
    <t>Change_In_Ht</t>
  </si>
  <si>
    <t>WC_Wt_Wet_Before</t>
  </si>
  <si>
    <t>WC_Wt_Dry_Before</t>
  </si>
  <si>
    <t>WC_Wt_Tare_Before</t>
  </si>
  <si>
    <t>Water_Content_Before</t>
  </si>
  <si>
    <t>Wet_Density_Before</t>
  </si>
  <si>
    <t>Dry_Density_Before</t>
  </si>
  <si>
    <t>WC_Wt_Wet_After</t>
  </si>
  <si>
    <t>WC_Wt_Dry_After</t>
  </si>
  <si>
    <t>WC_Wt_Tare_After</t>
  </si>
  <si>
    <t>Wet_Density_After</t>
  </si>
  <si>
    <t>Time_Units</t>
  </si>
  <si>
    <t>Chamber_Pressure</t>
  </si>
  <si>
    <t>Back_Pressure</t>
  </si>
  <si>
    <t>Fluid_Used</t>
  </si>
  <si>
    <t>Head</t>
  </si>
  <si>
    <t>Temperature</t>
  </si>
  <si>
    <t>Permeability</t>
  </si>
  <si>
    <t>Specific_Gravity</t>
  </si>
  <si>
    <t>Readings_Temperature_Units</t>
  </si>
  <si>
    <t>Wt_Bottle_Water</t>
  </si>
  <si>
    <t>Wt_Bottle_Water_Soil</t>
  </si>
  <si>
    <t>Wt_Dry_Soil_Tare</t>
  </si>
  <si>
    <t>Calibration Date</t>
  </si>
  <si>
    <t>Hammer Type</t>
  </si>
  <si>
    <t>Energy Ratio</t>
  </si>
  <si>
    <t>Hydrometer_Reading</t>
  </si>
  <si>
    <t>Particle_Size</t>
  </si>
  <si>
    <t>Percent_Finer</t>
  </si>
  <si>
    <t>HydrometerID</t>
  </si>
  <si>
    <t>Wt_Dry_Specimen</t>
  </si>
  <si>
    <t>Percent_Of_Total</t>
  </si>
  <si>
    <t>Temperature_Units_Test</t>
  </si>
  <si>
    <t>Type</t>
  </si>
  <si>
    <t>Temperature_Units_Calibration</t>
  </si>
  <si>
    <t>Calibration_Intercept</t>
  </si>
  <si>
    <t>Calibration_Slope</t>
  </si>
  <si>
    <t>Calibration_2ndOrderTerm</t>
  </si>
  <si>
    <t>Notes</t>
  </si>
  <si>
    <t>Initial Reading Date</t>
  </si>
  <si>
    <t>Inclinometer Graph Min Override</t>
  </si>
  <si>
    <t>Inclinometer Graph Max Override</t>
  </si>
  <si>
    <t>DateTime</t>
  </si>
  <si>
    <t>A-Axis Incremental Displacement</t>
  </si>
  <si>
    <t>A-Axis Cumulative Displacement</t>
  </si>
  <si>
    <t>B-Axis Incremental Displacement</t>
  </si>
  <si>
    <t>B-Axis Cumulative Displacement</t>
  </si>
  <si>
    <t>Logged By</t>
  </si>
  <si>
    <t>Comments</t>
  </si>
  <si>
    <t>Do Not Plot</t>
  </si>
  <si>
    <t>Interbed Percent</t>
  </si>
  <si>
    <t>Primary Color Code</t>
  </si>
  <si>
    <t>Primary Weathering</t>
  </si>
  <si>
    <t>Compressive Strength1</t>
  </si>
  <si>
    <t>Texture</t>
  </si>
  <si>
    <t>Structure Thickness</t>
  </si>
  <si>
    <t>Type Modifier</t>
  </si>
  <si>
    <t>Additional Description</t>
  </si>
  <si>
    <t>Bottom</t>
  </si>
  <si>
    <t>Field Sample Number</t>
  </si>
  <si>
    <t>Lab Sample Number</t>
  </si>
  <si>
    <t>Hand Penetrometer</t>
  </si>
  <si>
    <t>Visual Moisture</t>
  </si>
  <si>
    <t>Lab Moisture</t>
  </si>
  <si>
    <t>Visual Classification</t>
  </si>
  <si>
    <t>Use Visual</t>
  </si>
  <si>
    <t>Lab Classification</t>
  </si>
  <si>
    <t>Group Index</t>
  </si>
  <si>
    <t>PID</t>
  </si>
  <si>
    <t>Sample Tested</t>
  </si>
  <si>
    <t>RDR</t>
  </si>
  <si>
    <t>Graphic</t>
  </si>
  <si>
    <t>USCS</t>
  </si>
  <si>
    <t>Line Type</t>
  </si>
  <si>
    <t>Unit RQD</t>
  </si>
  <si>
    <t>Unit Recovery</t>
  </si>
  <si>
    <t>Fill</t>
  </si>
  <si>
    <t>Cohesive Consistency</t>
  </si>
  <si>
    <t>Primary Color1</t>
  </si>
  <si>
    <t>Primary Major Constituent</t>
  </si>
  <si>
    <t>Minor Constituent1</t>
  </si>
  <si>
    <t>Primary Moisture</t>
  </si>
  <si>
    <t>Slope_Initial</t>
  </si>
  <si>
    <t>Slope_Break</t>
  </si>
  <si>
    <t>Slope_2ndary</t>
  </si>
  <si>
    <t>Load_Units</t>
  </si>
  <si>
    <t>Bridge ID</t>
  </si>
  <si>
    <t>Reference Alignment</t>
  </si>
  <si>
    <t>Station</t>
  </si>
  <si>
    <t>Offset</t>
  </si>
  <si>
    <t>Offset Direction</t>
  </si>
  <si>
    <t>Date Started</t>
  </si>
  <si>
    <t>Date Finished</t>
  </si>
  <si>
    <t>Elevation</t>
  </si>
  <si>
    <t>Approximate</t>
  </si>
  <si>
    <t>HoleDepth</t>
  </si>
  <si>
    <t>Depth to Rock</t>
  </si>
  <si>
    <t>Drilling Firm</t>
  </si>
  <si>
    <t>Drill Operator</t>
  </si>
  <si>
    <t>Sampling Firm</t>
  </si>
  <si>
    <t>Drill Rig</t>
  </si>
  <si>
    <t>Soil Drill Method</t>
  </si>
  <si>
    <t>Rock Core Method</t>
  </si>
  <si>
    <t>Sampling Method</t>
  </si>
  <si>
    <t>Latitude</t>
  </si>
  <si>
    <t>Longitude</t>
  </si>
  <si>
    <t>North</t>
  </si>
  <si>
    <t>NAN</t>
  </si>
  <si>
    <t>East</t>
  </si>
  <si>
    <t>NAE</t>
  </si>
  <si>
    <t>Plunge</t>
  </si>
  <si>
    <t>Depth Log Page</t>
  </si>
  <si>
    <t>Drilling Notes</t>
  </si>
  <si>
    <t>Location</t>
  </si>
  <si>
    <t>County</t>
  </si>
  <si>
    <t>Route</t>
  </si>
  <si>
    <t>Section</t>
  </si>
  <si>
    <t>Alt_Name</t>
  </si>
  <si>
    <t>Number</t>
  </si>
  <si>
    <t>Elevation Datum</t>
  </si>
  <si>
    <t>Input Units</t>
  </si>
  <si>
    <t>Output Units</t>
  </si>
  <si>
    <t>Water_Unit_Wt</t>
  </si>
  <si>
    <t>Coeff_of_Consol_Factor</t>
  </si>
  <si>
    <t>Inclinometer Graph Min</t>
  </si>
  <si>
    <t>Inclinometer Graph Max</t>
  </si>
  <si>
    <t>Project Number</t>
  </si>
  <si>
    <t>Client</t>
  </si>
  <si>
    <t>Moisture</t>
  </si>
  <si>
    <t>qr</t>
  </si>
  <si>
    <t>qr corr</t>
  </si>
  <si>
    <t>strain</t>
  </si>
  <si>
    <t>Length</t>
  </si>
  <si>
    <t>Recovery Length</t>
  </si>
  <si>
    <t>Smpl_No</t>
  </si>
  <si>
    <t>Blows 1st</t>
  </si>
  <si>
    <t>Blows 2nd</t>
  </si>
  <si>
    <t>Blows 3rd</t>
  </si>
  <si>
    <t>Blows 4th</t>
  </si>
  <si>
    <t>WOH WOR</t>
  </si>
  <si>
    <t>RQD Length</t>
  </si>
  <si>
    <t>SAMPLE USCS</t>
  </si>
  <si>
    <t>LBI</t>
  </si>
  <si>
    <t>SULFATE</t>
  </si>
  <si>
    <t>Wt_Total_Spec</t>
  </si>
  <si>
    <t>Wt_Passing_Split_Sieve</t>
  </si>
  <si>
    <t>Wt_Fines_Tested</t>
  </si>
  <si>
    <t>Size_Split_Sieve</t>
  </si>
  <si>
    <t>Weighing_Method</t>
  </si>
  <si>
    <t>Wt_Sieving_Tare_Coarse</t>
  </si>
  <si>
    <t>Wt_Sieving_Tare_Fine</t>
  </si>
  <si>
    <t>WC_Wt_Wet_Fine</t>
  </si>
  <si>
    <t>WC_Wt_Dry_Fine</t>
  </si>
  <si>
    <t>WC_Wt_Tare_Fine</t>
  </si>
  <si>
    <t>Water_Content_Fine</t>
  </si>
  <si>
    <t>Water_Content_Coarse</t>
  </si>
  <si>
    <t>WC_Wt_Dry_Coarse</t>
  </si>
  <si>
    <t>WC_Wt_Wet_Coarse</t>
  </si>
  <si>
    <t>WC_Wt_Tare_Coarse</t>
  </si>
  <si>
    <t>Coarse_Sieved_Wet</t>
  </si>
  <si>
    <t>Name</t>
  </si>
  <si>
    <t>Soil_Tare</t>
  </si>
  <si>
    <t>Load_Reading</t>
  </si>
  <si>
    <t>Deflection_Reading</t>
  </si>
  <si>
    <t>Stress tsf</t>
  </si>
  <si>
    <t>Strength</t>
  </si>
  <si>
    <t>Strain_At_Failure</t>
  </si>
  <si>
    <t>Load_Ring</t>
  </si>
  <si>
    <t>Stress_Area</t>
  </si>
  <si>
    <t>Seating_Correction</t>
  </si>
  <si>
    <t>Strain Rate</t>
  </si>
  <si>
    <t>Date/Time</t>
  </si>
  <si>
    <t>Hours After</t>
  </si>
  <si>
    <t>Days After</t>
  </si>
  <si>
    <t>Show</t>
  </si>
  <si>
    <t>Installation Type</t>
  </si>
  <si>
    <t>Questions</t>
  </si>
  <si>
    <t>START</t>
  </si>
  <si>
    <t>IGNORE</t>
  </si>
  <si>
    <t>soil</t>
  </si>
  <si>
    <t>rock</t>
  </si>
  <si>
    <t>LocationDepth</t>
  </si>
  <si>
    <t>locationdepth</t>
  </si>
  <si>
    <t>offsetnounit</t>
  </si>
  <si>
    <t>n-value</t>
  </si>
  <si>
    <t>base</t>
  </si>
  <si>
    <t>pen1</t>
  </si>
  <si>
    <t>pen2</t>
  </si>
  <si>
    <t>pen3</t>
  </si>
  <si>
    <t>combine</t>
  </si>
  <si>
    <t>base2use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</si>
</sst>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2" borderId="2" xfId="0" applyFont="1" applyFill="1" applyBorder="1"/>
    <xf numFmtId="0" fontId="0" fillId="0" borderId="1" xfId="0" applyFont="1" applyBorder="1"/>
    <xf numFmtId="2" fontId="0" fillId="0" borderId="0" xfId="0" applyNumberFormat="1"/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157B9E-3942-4123-BDA5-5CFCE035C837}" name="ABANDONMENT" displayName="ABANDONMENT" ref="A4:F5" totalsRowShown="0">
  <autoFilter ref="A4:F5" xr:uid="{F971AABD-78EE-418B-83AE-95DA9FDE399F}"/>
  <tableColumns count="6">
    <tableColumn id="1" xr3:uid="{1B3AC662-8E47-4478-B931-87643DF60C51}" name="IGNORE"/>
    <tableColumn id="2" xr3:uid="{5EA778DC-EC45-4B7D-B9F9-2A487E59DAF2}" name="PointID"/>
    <tableColumn id="3" xr3:uid="{757E85DF-3009-4727-9962-4B506A589698}" name="ItemKey"/>
    <tableColumn id="4" xr3:uid="{2BFFA777-D772-4130-814A-5A53F9DF33FC}" name="Units"/>
    <tableColumn id="5" xr3:uid="{AAE13149-F3C3-496D-A869-3C5F897D654D}" name="Quantity"/>
    <tableColumn id="6" xr3:uid="{608BBB40-0A4F-42E8-82F1-4064774515C1}" name="Metho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44B449-0013-4022-82C3-41A7BA673EF7}" name="ATTB READINGS" displayName="ATTB_READINGS" ref="A4:K5" totalsRowShown="0">
  <autoFilter ref="A4:K5" xr:uid="{099BDA02-9E61-4A75-BEB3-43DE57F16C1F}"/>
  <tableColumns count="11">
    <tableColumn id="1" xr3:uid="{CE1625AB-DE9E-486F-A5C4-41AEFC291EEC}" name="IGNORE"/>
    <tableColumn id="2" xr3:uid="{92515013-E822-458E-86C3-7B2984264D2C}" name="PointID"/>
    <tableColumn id="3" xr3:uid="{97B6BC6A-C018-4646-BD49-1B98C68FD091}" name="Depth"/>
    <tableColumn id="4" xr3:uid="{F265D224-F07A-4154-9CF6-1A41DF1988AA}" name="Reading"/>
    <tableColumn id="5" xr3:uid="{95765C7B-8E61-46C1-87E1-768692D7F02D}" name="WC_Wt_Wet"/>
    <tableColumn id="6" xr3:uid="{3018E702-994C-4865-B5FC-CE062ACFDFE6}" name="WC_Wt_Dry"/>
    <tableColumn id="7" xr3:uid="{98B6179F-F3DE-4497-B0E4-2C80E62666EB}" name="WC_Wt_Tare"/>
    <tableColumn id="8" xr3:uid="{91385349-8D0D-42F2-96D6-951ECA9B6C22}" name="Number_Blows"/>
    <tableColumn id="9" xr3:uid="{623ABEC1-7312-4DB0-BECF-E7963C79B035}" name="Water_Content"/>
    <tableColumn id="10" xr3:uid="{AAC37BE3-D117-4A58-97BE-338EC57B0A11}" name="Cone_Pen_Initial"/>
    <tableColumn id="11" xr3:uid="{90333122-48D4-414B-9CE4-B0BE991657F4}" name="Cone_Pen_Fin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C1B0BA-7146-45CB-B1FE-FB7A9F3CBBDA}" name="ATTERBERG" displayName="ATTERBERG" ref="A4:N5" totalsRowShown="0">
  <autoFilter ref="A4:N5" xr:uid="{91C1EA94-6EBD-45F8-B120-3204C287D5EA}"/>
  <tableColumns count="14">
    <tableColumn id="1" xr3:uid="{49D16B25-F4AC-4053-8235-676F06392237}" name="IGNORE"/>
    <tableColumn id="2" xr3:uid="{16EB00D9-964E-40A0-9C1A-64D33EB2CFC8}" name="PointID"/>
    <tableColumn id="3" xr3:uid="{61CA96FB-FF05-497A-BBD3-41033AD0B37D}" name="Depth"/>
    <tableColumn id="4" xr3:uid="{9005B73F-9044-4815-BF84-62E6F94527F6}" name="Liquid_Limit"/>
    <tableColumn id="5" xr3:uid="{74FD07BF-30DF-48F4-A7DF-BC0850A1B3A8}" name="Plastic_Limit"/>
    <tableColumn id="6" xr3:uid="{EE782817-D84E-4C1C-9319-F70346C06545}" name="Organic"/>
    <tableColumn id="7" xr3:uid="{327AFE41-A282-4A52-9125-0061868965B4}" name="Oven Dried LL"/>
    <tableColumn id="8" xr3:uid="{B0844B81-9B2E-47F0-9F69-6F22E81F1346}" name="LLo Tare"/>
    <tableColumn id="9" xr3:uid="{454FFC80-23C2-4D63-B103-1757E6EBE20B}" name="LLo Wet Wt"/>
    <tableColumn id="10" xr3:uid="{7503BE4C-ACFE-4A4D-9733-FC277C3F1349}" name="LLo Dry Wt"/>
    <tableColumn id="11" xr3:uid="{2541CC28-2921-49C1-94E9-793214625376}" name="LLo Number of Blows"/>
    <tableColumn id="12" xr3:uid="{104B49AE-DB43-4E6E-8894-48B8B6D79F22}" name="LLo Water Content"/>
    <tableColumn id="13" xr3:uid="{099563B2-62F6-40CC-91BD-72C673A65030}" name="combine" dataDxfId="17">
      <calculatedColumnFormula>ATTERBERG[[#This Row],[PointID]]&amp;ATTERBERG[[#This Row],[Depth]]</calculatedColumnFormula>
    </tableColumn>
    <tableColumn id="14" xr3:uid="{5C43C383-D1FA-4431-B93A-E4E73FFC50F2}" name="base" dataDxfId="16">
      <calculatedColumnFormula>VLOOKUP(ATTERBERG[[#This Row],[combine]],LAB_SPECIMEN[[#All],[combine]:[base2use]],2,FALSE)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B4877F-FAEC-407B-822B-A0D9319CEE4C}" name="CLASSIFICATION FLAGS" displayName="CLASSIFICATION_FLAGS" ref="A4:K5" totalsRowShown="0">
  <autoFilter ref="A4:K5" xr:uid="{CA9BBE0F-E2D1-44B5-900A-34EA70099537}"/>
  <tableColumns count="11">
    <tableColumn id="1" xr3:uid="{D19521F0-1CFA-4F08-8BC7-C96545551714}" name="IGNORE"/>
    <tableColumn id="2" xr3:uid="{7D2F06B2-D2F2-4369-8F89-DCF9FC0FF435}" name="PointID"/>
    <tableColumn id="3" xr3:uid="{9FC5FDA0-AEC8-439C-9F10-FDEA2D24ADA9}" name="Depth"/>
    <tableColumn id="4" xr3:uid="{32D13937-D688-4390-B7EF-98054B848BDA}" name="Visual Class versus Mechanical"/>
    <tableColumn id="5" xr3:uid="{453D10ED-171C-49F0-A8D3-9DC83D7277CA}" name="No Visual Classification"/>
    <tableColumn id="6" xr3:uid="{E17E9AD0-C574-4518-9420-986663D2A01D}" name="No Mechanical Classification"/>
    <tableColumn id="7" xr3:uid="{AB531698-C3A9-4A2E-8AB6-40746E5D1365}" name="Visual Moisture versus Wc"/>
    <tableColumn id="8" xr3:uid="{BA66B32E-F472-41F5-A764-059A2B3C945E}" name="LL PL"/>
    <tableColumn id="9" xr3:uid="{C5E1B4FA-3F76-4C60-97EA-D48813FB5CB9}" name="LL Plus60"/>
    <tableColumn id="10" xr3:uid="{E80810EA-CD2C-448C-93EF-AC3B7617487F}" name="PL Plus50"/>
    <tableColumn id="11" xr3:uid="{61B0F0EB-81D9-44AC-8DDB-4CAC3D14675B}" name="PI Plus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48E59C-3784-4BA4-AAD1-9E0AA801A2C3}" name="COMP READINGS" displayName="COMP_READINGS" ref="A4:K5" totalsRowShown="0">
  <autoFilter ref="A4:K5" xr:uid="{B877C790-2EE5-46AE-B95D-E94351547099}"/>
  <tableColumns count="11">
    <tableColumn id="1" xr3:uid="{B9757FC2-6B4C-4D65-B707-0A939C9937AA}" name="IGNORE"/>
    <tableColumn id="2" xr3:uid="{2017E2CC-03ED-45EE-8ED9-D37E77981497}" name="PointID"/>
    <tableColumn id="3" xr3:uid="{EBFA17CF-F185-4DBB-8AD9-B7108A0196CF}" name="Depth"/>
    <tableColumn id="4" xr3:uid="{57968D0B-EA02-47F8-8FB3-5C044B68F8B6}" name="Reading"/>
    <tableColumn id="5" xr3:uid="{F9D3EEEF-0FB2-464A-9671-2EBE3E7C8184}" name="Wt_Soil_Mold"/>
    <tableColumn id="6" xr3:uid="{8D754D63-6FBD-4D74-8001-810B322C3264}" name="WC_Wt_Wet"/>
    <tableColumn id="7" xr3:uid="{6F3494C0-33E6-49D4-8785-99CE30232CB1}" name="WC_Wt_Dry"/>
    <tableColumn id="8" xr3:uid="{79A475E8-A185-4309-AC56-5DF120563798}" name="WC_Wt_Tare"/>
    <tableColumn id="9" xr3:uid="{7912A182-202E-4D33-92BB-C9E96EAAB18E}" name="Water_Content"/>
    <tableColumn id="10" xr3:uid="{E9E93DA1-4871-4ACC-B8A6-4583E6FFAE98}" name="Wet_Density"/>
    <tableColumn id="11" xr3:uid="{19BBAF25-9E9E-4203-B5B3-597CE19C82D0}" name="Dry_Densit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4DBE3F-6DBC-4D90-9CB7-81AFCB0288DE}" name="COMPACTION" displayName="COMPACTION" ref="A4:J5" totalsRowShown="0">
  <autoFilter ref="A4:J5" xr:uid="{C9D1154F-7C3A-448F-AF4F-CFB8C8079AAC}"/>
  <tableColumns count="10">
    <tableColumn id="1" xr3:uid="{F973E990-4F37-4A27-B8CF-314C5B69C164}" name="IGNORE"/>
    <tableColumn id="2" xr3:uid="{615E49E2-2086-47C3-9267-22C20DE9951F}" name="PointID"/>
    <tableColumn id="3" xr3:uid="{6241432D-B0CB-4923-A67F-B954E2523D59}" name="Depth"/>
    <tableColumn id="4" xr3:uid="{CDA9950A-8E57-4213-A56E-840159A0A42C}" name="Max_Dry_Density"/>
    <tableColumn id="5" xr3:uid="{CE65CCF2-9284-4219-8526-3D370C89E6E8}" name="Opt_Moisture_Content"/>
    <tableColumn id="6" xr3:uid="{24460D56-6D9C-4537-8DA5-FB20715934F8}" name="Method"/>
    <tableColumn id="7" xr3:uid="{A53C2D5F-C5CE-43A7-B8C6-954A374CFBFD}" name="Mold_Volume"/>
    <tableColumn id="8" xr3:uid="{7A7794F4-D004-4958-8918-15D5C8DF321A}" name="Volume_Units"/>
    <tableColumn id="9" xr3:uid="{D1ABB1F9-D04D-4CBA-ABB1-D6580EE67290}" name="Mold_Weight"/>
    <tableColumn id="10" xr3:uid="{C6B010BA-434F-46AF-BA92-9B9A89C9EB33}" name="Weight_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4EAAA9-6341-4DC3-9921-3F6EBFFF7D1F}" name="CONSOL READINGS" displayName="CONSOL_READINGS" ref="A4:Q5" totalsRowShown="0">
  <autoFilter ref="A4:Q5" xr:uid="{2B2112D6-4657-42F1-98BB-3B729EA51B49}"/>
  <tableColumns count="17">
    <tableColumn id="1" xr3:uid="{04ED1695-3D5B-4C00-BC5E-0079C08B69A0}" name="IGNORE"/>
    <tableColumn id="2" xr3:uid="{263C0232-22AF-42B1-A76E-BCB6D0777670}" name="PointID"/>
    <tableColumn id="3" xr3:uid="{5C373EDB-CAE4-4A00-BDA2-A61C67B051ED}" name="Depth"/>
    <tableColumn id="4" xr3:uid="{36B08EBC-7F07-492E-8349-37E5AE7D4550}" name="Reading"/>
    <tableColumn id="5" xr3:uid="{DD7651BC-CDF3-4D21-9798-2F88C62CFECC}" name="Stress"/>
    <tableColumn id="6" xr3:uid="{B28D0457-6F23-4B7A-BAEF-EB48C93A1C22}" name="Average Stress"/>
    <tableColumn id="7" xr3:uid="{C96B4C46-DB6C-436A-B6F6-2CEB54E758B8}" name="Cummulative_Deflection"/>
    <tableColumn id="8" xr3:uid="{CCE4FB1D-38E4-4287-8A46-89534D5D1353}" name="Strain"/>
    <tableColumn id="9" xr3:uid="{06B03D48-5BA1-4EF6-882F-612C415CAE1A}" name="coefficient consolidation"/>
    <tableColumn id="10" xr3:uid="{E5675511-3F71-443F-8C73-BF0EC036F67C}" name="T50"/>
    <tableColumn id="11" xr3:uid="{2AF410B8-7ABB-4F71-9205-053146457E3E}" name="T90"/>
    <tableColumn id="12" xr3:uid="{60F8D774-FE41-4586-B2D2-B38A9C717F5B}" name="Cv50"/>
    <tableColumn id="13" xr3:uid="{983ACDE0-8CF8-4EE0-AB02-94EBE2319939}" name="Cv90"/>
    <tableColumn id="14" xr3:uid="{BDD2BACE-3216-4662-B2F3-C59AB9FA6D50}" name="void ratio"/>
    <tableColumn id="15" xr3:uid="{5CDC14D8-FA09-4ED6-96A9-0FCB612CD0AB}" name="Square Root Time"/>
    <tableColumn id="16" xr3:uid="{C6052CBB-E66D-4564-9D6C-2D099F842F6B}" name="Time"/>
    <tableColumn id="17" xr3:uid="{11A524EB-F85D-40ED-8970-A8CF8EB0EAFD}" name="Dial Read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D99247-107C-4CEB-8F62-58BD9D06C0B7}" name="CONSOLIDATION" displayName="CONSOLIDATION" ref="A4:AE5" totalsRowShown="0">
  <autoFilter ref="A4:AE5" xr:uid="{A2F1E293-6445-4616-A795-C998E39AEAB9}"/>
  <tableColumns count="31">
    <tableColumn id="1" xr3:uid="{F5688321-7A10-4910-BD57-775C4340D712}" name="IGNORE"/>
    <tableColumn id="2" xr3:uid="{0687B73D-EA7B-4BD6-A39B-5E3EA5DC40BA}" name="PointID"/>
    <tableColumn id="3" xr3:uid="{F2546D36-DD8B-4EEF-ACE7-BB7CEECF8925}" name="Depth"/>
    <tableColumn id="4" xr3:uid="{B40543AC-1EF9-49E8-B53B-A899834CBBB2}" name="Depth Entered"/>
    <tableColumn id="5" xr3:uid="{30D2AAC9-33DF-4CB3-91A9-A5423D48B194}" name="Sample Entered"/>
    <tableColumn id="6" xr3:uid="{6E7FE592-2073-4B1F-94B6-84B325B6469D}" name="Deflection_Units"/>
    <tableColumn id="7" xr3:uid="{9A585069-C14C-4713-A329-724AD92812C1}" name="Load"/>
    <tableColumn id="8" xr3:uid="{13238784-37F8-45D0-ACB6-329ADEB62453}" name="Diameter"/>
    <tableColumn id="9" xr3:uid="{3F2E019E-4A76-4916-9277-543404730E5F}" name="Diameter in"/>
    <tableColumn id="10" xr3:uid="{8A98DB0B-555F-4376-AECA-8CB04C028A63}" name="Height"/>
    <tableColumn id="11" xr3:uid="{28E5B24C-8392-4ABA-94A4-5CAED249194D}" name="Height in"/>
    <tableColumn id="12" xr3:uid="{C7F2C6D1-32EF-4867-BF5E-ED67D5C3CD0C}" name="Wet_Density"/>
    <tableColumn id="13" xr3:uid="{4249882E-D0BA-48A2-A6B6-F66D4CA23FFB}" name="Dry_Density"/>
    <tableColumn id="14" xr3:uid="{522A9BD4-A4AA-4B2F-A90B-90EE1300A4FD}" name="Water_Content"/>
    <tableColumn id="15" xr3:uid="{212543E0-15AA-43C6-84B0-E54FD5C4EFDE}" name="Wt_Spec_Tare"/>
    <tableColumn id="16" xr3:uid="{2BD7F7BD-FFB1-42F1-B49A-A64FBB1361D7}" name="Wt_Tare"/>
    <tableColumn id="17" xr3:uid="{5593FD98-6358-484E-94A8-8C85AA67E621}" name="WC_Wt_Wet"/>
    <tableColumn id="18" xr3:uid="{1F54B134-668C-4FD8-A318-14C27A41A1AE}" name="WC_Wt_Dry"/>
    <tableColumn id="19" xr3:uid="{D54B0B9F-FDFC-44DD-8970-58A72E637F96}" name="WC_Wt_Tare"/>
    <tableColumn id="20" xr3:uid="{1478CBD4-F18B-45FA-9066-CFF0C076C01D}" name="Dry_Density_After"/>
    <tableColumn id="21" xr3:uid="{9C13B3F5-5A9B-4E65-AB47-167B2725C3AA}" name="Water_Content_After"/>
    <tableColumn id="22" xr3:uid="{CBD6D3F8-C311-4C6B-BA40-0B89D93546AE}" name="Initial Void"/>
    <tableColumn id="23" xr3:uid="{7C80D65B-875B-479B-8819-4C9C1897B849}" name="Specific Gravity"/>
    <tableColumn id="24" xr3:uid="{5AED26FA-AC4D-49AB-920E-7277A5C3D8CF}" name="Visual Description"/>
    <tableColumn id="25" xr3:uid="{B502D315-0D9E-410A-85B9-E9E3869661C8}" name="P0"/>
    <tableColumn id="26" xr3:uid="{ABD68875-0BBE-4876-9DC1-BE72DB444912}" name="Pmax"/>
    <tableColumn id="27" xr3:uid="{21F3A3CA-230B-45D5-8222-F6ABD3FCDA04}" name="Preconsolidation Pressure"/>
    <tableColumn id="28" xr3:uid="{BD1C97EB-EE3B-45D3-AFE2-F06EF2898DDF}" name="Cr"/>
    <tableColumn id="29" xr3:uid="{44D0FF7D-299F-498C-949E-3A1C4AADFBA7}" name="Cc"/>
    <tableColumn id="30" xr3:uid="{A6A5A1CB-2507-4B6C-A7BD-1E259F4DA2A7}" name="Cv50_Typical"/>
    <tableColumn id="31" xr3:uid="{4445C2B8-DC93-4AF1-99BB-538EE7A7486F}" name="Cv90_Typic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6D554B-01C7-4F2F-A20A-AF7E2F70FE84}" name="DIRECT SHEAR" displayName="DIRECT_SHEAR" ref="A4:AP5" totalsRowShown="0">
  <autoFilter ref="A4:AP5" xr:uid="{6A4FB05F-87A3-4B39-9C98-DD10F56AE79B}"/>
  <tableColumns count="42">
    <tableColumn id="1" xr3:uid="{9A15BFEC-AE27-4B23-9EBD-43274B5EC537}" name="IGNORE"/>
    <tableColumn id="2" xr3:uid="{C62AF554-3A6F-4C8A-9E1E-987BF08D8B9E}" name="PointID"/>
    <tableColumn id="3" xr3:uid="{02669728-6C35-4FCC-BDFF-0DF1EA11B7BD}" name="Depth"/>
    <tableColumn id="4" xr3:uid="{6AE9AA15-A3CF-4DF8-BA76-4D612EFE8BB0}" name="Depth Entered2"/>
    <tableColumn id="5" xr3:uid="{CADF0679-4697-4A7A-A8D6-65D6033AF6C2}" name="Depth Entered3"/>
    <tableColumn id="6" xr3:uid="{3BD2CFE3-AAB5-47B3-A6C5-F9BDD65690E0}" name="Ring_Area"/>
    <tableColumn id="7" xr3:uid="{45EC8B89-6B13-40F3-A0F7-F9251E2BD3A7}" name="Ring_Ht"/>
    <tableColumn id="8" xr3:uid="{6FC3A67F-6B8C-432A-9E52-CDA22224E531}" name="Cohesion_Calc"/>
    <tableColumn id="9" xr3:uid="{D3AF0C02-E262-44EB-96E6-92314951F9C2}" name="Friction_Angle_Calc"/>
    <tableColumn id="10" xr3:uid="{6423C407-32EB-438C-83C9-397AF496F5EE}" name="Cohesion_Assigned"/>
    <tableColumn id="11" xr3:uid="{E8FDA566-ACB3-47F9-BE4E-723C9CA26572}" name="Friction_Angle_Assigned"/>
    <tableColumn id="12" xr3:uid="{823C771F-4491-482B-AB8A-ADD9297FBAEB}" name="Wet_Density"/>
    <tableColumn id="13" xr3:uid="{74006D97-BAF0-46E4-865F-6C1735D7B1C4}" name="Dry_Density"/>
    <tableColumn id="14" xr3:uid="{3FC39277-A5EC-4418-BE1B-E20A76BEEF9D}" name="Water_Content"/>
    <tableColumn id="15" xr3:uid="{C50E63B3-74EB-420C-AA0C-031585154A87}" name="Soaked"/>
    <tableColumn id="16" xr3:uid="{BABA5C46-909F-47C8-9DBB-9A639C6ACDEC}" name="Visual"/>
    <tableColumn id="17" xr3:uid="{BF1AF152-9225-453C-971B-DCA2FD335A18}" name="Soil Structure"/>
    <tableColumn id="18" xr3:uid="{CE3F6501-B8D3-48FF-B5FA-F5CD69CB19BD}" name="Shear Device"/>
    <tableColumn id="19" xr3:uid="{B45448E9-A333-42E3-B6C2-5E74E5CB01F0}" name="Wet Density1"/>
    <tableColumn id="20" xr3:uid="{2DAC89DB-57D0-4F42-8B7D-093A6D0D7C0D}" name="Wet Density2"/>
    <tableColumn id="21" xr3:uid="{8D442F7E-FBE6-4D0B-8F84-3DABBCC485DA}" name="Wet Density3"/>
    <tableColumn id="22" xr3:uid="{0F598479-7A1B-4C12-9353-0EE290690B4D}" name="Wet Weight1"/>
    <tableColumn id="23" xr3:uid="{53FD09A3-E090-4EC4-AFA9-89262FBE0E30}" name="Wet Weight2"/>
    <tableColumn id="24" xr3:uid="{3EF13D33-C8C3-45DA-BA9D-56366CF5E77D}" name="Wet Weight3"/>
    <tableColumn id="25" xr3:uid="{4F93D34F-1851-446E-942A-B55D3BC65F8E}" name="Volume1"/>
    <tableColumn id="26" xr3:uid="{8D8D6A87-3DD4-402A-B48C-E9F6C8E9D072}" name="Volume2"/>
    <tableColumn id="27" xr3:uid="{B900D774-88FF-4F3A-A7CC-96D8BB343CFF}" name="Volume3"/>
    <tableColumn id="28" xr3:uid="{5817DA5B-B37F-4A24-B38F-5075ACE1955E}" name="Moisture1"/>
    <tableColumn id="29" xr3:uid="{0A2DB051-A1C3-40B5-A600-D82FB2F17C41}" name="Moisture2"/>
    <tableColumn id="30" xr3:uid="{3D7DBD88-ABFE-4594-8AD3-6CCC2D6B8079}" name="Moisture3"/>
    <tableColumn id="31" xr3:uid="{15AD8AED-D18C-459A-B5B7-1B36463BFC6B}" name="N Stress kpa1"/>
    <tableColumn id="32" xr3:uid="{1B43B17D-8525-461A-A4D0-918D1ADD9790}" name="N Stress kpa2"/>
    <tableColumn id="33" xr3:uid="{70A61144-C277-4AE4-914D-3FD986C79F59}" name="N Stress kpa3"/>
    <tableColumn id="34" xr3:uid="{F2757EA1-1A4D-412E-8C66-868B04BDF234}" name="S Stress kpa1"/>
    <tableColumn id="35" xr3:uid="{5E87F357-6F8F-4BF4-9C46-42A24072492B}" name="S Stress kpa2"/>
    <tableColumn id="36" xr3:uid="{C5DF9B3C-8DA1-48D4-8463-11DC95284160}" name="S Stress kpa3"/>
    <tableColumn id="37" xr3:uid="{180BC70E-5908-42E5-975E-18787EB60C32}" name="N Stress psf1"/>
    <tableColumn id="38" xr3:uid="{7EB5B892-1FAD-494E-A693-30F3040E2DC5}" name="N Stress psf2"/>
    <tableColumn id="39" xr3:uid="{0C566F36-CD5F-4673-BD9A-AD9AA169A8F9}" name="N Stress psf3"/>
    <tableColumn id="40" xr3:uid="{24A80A03-5521-4EAF-8BE4-0E912012EC38}" name="S Stress psf1"/>
    <tableColumn id="41" xr3:uid="{84BEBA31-2E49-401A-A6E9-6460F0EAAA1A}" name="S Stress psf2"/>
    <tableColumn id="42" xr3:uid="{5322973B-7E62-47C4-9907-F1E259E3E80A}" name="S Stress psf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12950EA-0BC5-4E0B-A9F4-10F8DB086B6F}" name="DRILL OPERATOR" displayName="DRILL_OPERATOR" ref="A4:B5" totalsRowShown="0">
  <autoFilter ref="A4:B5" xr:uid="{2B120FB6-A616-4BA6-8950-CC0C03D4828E}"/>
  <tableColumns count="2">
    <tableColumn id="1" xr3:uid="{76269F1A-1636-4AF4-A9AE-5099CD394491}" name="IGNORE"/>
    <tableColumn id="2" xr3:uid="{15CE91AF-F451-486F-9A29-EF54419BA248}" name="ItemKe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F2CD26-B2F4-4A52-8F71-CA406B13BE88}" name="DRILLING FIRM" displayName="DRILLING_FIRM" ref="A4:B5" totalsRowShown="0">
  <autoFilter ref="A4:B5" xr:uid="{00AC8B42-00FD-49B8-9408-6F9B98CEB8AC}"/>
  <tableColumns count="2">
    <tableColumn id="1" xr3:uid="{3A89BA4E-3959-429F-B743-EEE4F4D1E804}" name="IGNORE"/>
    <tableColumn id="2" xr3:uid="{B544E5DB-EB08-4DEF-A3AD-B5E5040B3CD5}" name="ItemKey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24467D-F17F-4AB7-A11D-CE713F00DF94}" name="DRILLING NOTES" displayName="DRILLING_NOTES" ref="A4:C5" totalsRowShown="0">
  <autoFilter ref="A4:C5" xr:uid="{0FAC50AC-B7EC-4617-882F-37F2FD3C069F}"/>
  <tableColumns count="3">
    <tableColumn id="1" xr3:uid="{1B3B0C5C-7188-4D68-87AD-2E63A0089CCF}" name="IGNORE"/>
    <tableColumn id="2" xr3:uid="{43355947-44B6-48F8-A562-14B452255287}" name="PointID"/>
    <tableColumn id="3" xr3:uid="{2E6524C5-2EC5-466D-B947-F78710007BB9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B8352C-24D3-476A-8B2F-DD3CBE4929A2}" name="DSHR READINGS" displayName="DSHR_READINGS" ref="A4:P5" totalsRowShown="0">
  <autoFilter ref="A4:P5" xr:uid="{13EC6807-C3E4-4562-ABBE-68C30299645A}"/>
  <tableColumns count="16">
    <tableColumn id="1" xr3:uid="{4C605630-5689-4229-80A3-CB28C649D0DC}" name="IGNORE"/>
    <tableColumn id="2" xr3:uid="{6E8B0A82-CA2D-4B99-802C-C9B8C4F4BA34}" name="PointID"/>
    <tableColumn id="3" xr3:uid="{3FA380B4-D062-44F4-83BC-3696893BFDCD}" name="Depth"/>
    <tableColumn id="4" xr3:uid="{04ECA962-DDBE-4DD3-9201-4A52C1BAFE99}" name="Reading"/>
    <tableColumn id="5" xr3:uid="{C3693842-6DA6-478F-A97D-D7CC6DAA4855}" name="Failure_Stress"/>
    <tableColumn id="6" xr3:uid="{797F3981-9142-48AB-9CA7-75153597D22C}" name="Normal stress psf"/>
    <tableColumn id="7" xr3:uid="{78E6A072-7FC6-4820-B5E7-0D82212EF2EA}" name="Falure Stress psf"/>
    <tableColumn id="8" xr3:uid="{E30A1BFA-C7B3-43AD-B328-3D28EC9485E0}" name="Wet_Density"/>
    <tableColumn id="9" xr3:uid="{2470B299-B095-4603-809D-6897B98DE11B}" name="Dry_Density"/>
    <tableColumn id="10" xr3:uid="{0BD82AF8-A215-421E-83A9-47DBA5D284D1}" name="Water_Content"/>
    <tableColumn id="11" xr3:uid="{6A2F3517-A8D2-41C3-B9EA-126B8C82740B}" name="Wt_Spec_Tare"/>
    <tableColumn id="12" xr3:uid="{EA60ADF1-C7E4-4091-A2E7-B097D5093857}" name="Wt_Tare"/>
    <tableColumn id="13" xr3:uid="{0B815EDD-87A4-4752-80A1-8CCB6619BC61}" name="WC_Wt_Wet"/>
    <tableColumn id="14" xr3:uid="{602C1971-C42C-42B4-B5E8-A77539177046}" name="WC_Wt_Dry"/>
    <tableColumn id="15" xr3:uid="{A6906EAB-B591-4988-A0BE-2652A204A1A5}" name="WC_Wt_Tare"/>
    <tableColumn id="16" xr3:uid="{6693AA15-3F10-40AD-A949-1A24D2F788D9}" name="Not_Used_In_Calc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D4DCF0-0BEB-426C-9205-BE395BF43EEE}" name="FALL HEAD K" displayName="FALL_HEAD_K" ref="A4:AD5" totalsRowShown="0">
  <autoFilter ref="A4:AD5" xr:uid="{C2195F96-A3C0-4747-893E-7562ABBE838E}"/>
  <tableColumns count="30">
    <tableColumn id="1" xr3:uid="{F0A315C1-85E6-4026-98DA-64AFF1F2C1D3}" name="IGNORE"/>
    <tableColumn id="2" xr3:uid="{13651AFB-38EC-4352-90EC-33F4E5D21222}" name="PointID"/>
    <tableColumn id="3" xr3:uid="{8E95AFB1-773E-4F93-8054-F97673F6FB00}" name="Depth"/>
    <tableColumn id="4" xr3:uid="{0E674AE8-34B9-4169-A353-C9FC4DAAC664}" name="K_Assigned"/>
    <tableColumn id="5" xr3:uid="{6815088B-51C2-4FE5-8C4F-243849EC6C42}" name="K_Calculated"/>
    <tableColumn id="6" xr3:uid="{227514DB-AB5E-4FE9-A47A-197D6596F526}" name="K_Units_Fac"/>
    <tableColumn id="7" xr3:uid="{0DF7B32C-92B0-475B-A859-A3A879FBE5B4}" name="Initial_Head"/>
    <tableColumn id="8" xr3:uid="{8AEDBDB5-5D9B-4923-8AEA-055D56301A29}" name="Temperature_Units"/>
    <tableColumn id="9" xr3:uid="{44C61310-5556-4326-A52D-9764F4BBBA89}" name="Burette_Area"/>
    <tableColumn id="10" xr3:uid="{7823E068-7583-4E15-96F8-1588AF1B4274}" name="Diameter"/>
    <tableColumn id="11" xr3:uid="{BD398B33-D2D6-460E-B789-0DE8A3422E36}" name="Height"/>
    <tableColumn id="12" xr3:uid="{D66CD829-FE40-40AE-B986-BC562487A27E}" name="Change_In_Ht"/>
    <tableColumn id="13" xr3:uid="{E00E1AED-3856-4520-9AB5-68E9B55494ED}" name="Wt_Spec_Tare"/>
    <tableColumn id="14" xr3:uid="{17CDCA58-F1FB-4AA4-A0BD-C6F1DADFE621}" name="Wt_Tare"/>
    <tableColumn id="15" xr3:uid="{0F508504-5127-4B2B-BF3C-5A64DE23A211}" name="WC_Wt_Wet_Before"/>
    <tableColumn id="16" xr3:uid="{D885CAE8-49D3-421C-B2D2-65FA9E780630}" name="WC_Wt_Dry_Before"/>
    <tableColumn id="17" xr3:uid="{7C94FF15-73E6-4853-8645-A9BBF023527F}" name="WC_Wt_Tare_Before"/>
    <tableColumn id="18" xr3:uid="{E077692D-28E7-41AE-B448-5433AE6C1571}" name="Water_Content_Before"/>
    <tableColumn id="19" xr3:uid="{A0F66F20-1645-44E8-AD65-15597E0F5917}" name="Wet_Density_Before"/>
    <tableColumn id="20" xr3:uid="{312340B7-C91B-47A7-92D6-481353962B98}" name="Dry_Density_Before"/>
    <tableColumn id="21" xr3:uid="{4FB9DAE0-89AA-4E52-8666-5D587252DE56}" name="WC_Wt_Wet_After"/>
    <tableColumn id="22" xr3:uid="{5B1F5A34-2673-4810-B3DC-3217960C50CB}" name="WC_Wt_Dry_After"/>
    <tableColumn id="23" xr3:uid="{B2090DAF-B2DA-4AB6-A9AE-7B4B59743F37}" name="WC_Wt_Tare_After"/>
    <tableColumn id="24" xr3:uid="{C75B923D-263F-4B7A-A79B-1DB3B9018359}" name="Water_Content_After"/>
    <tableColumn id="25" xr3:uid="{4FC0DFDC-FE77-438C-B960-69870D303EB7}" name="Wet_Density_After"/>
    <tableColumn id="26" xr3:uid="{8AAED9CA-F2EC-43D7-BCF0-B36EDCB5E94B}" name="Dry_Density_After"/>
    <tableColumn id="27" xr3:uid="{1EC66F4B-3069-40C0-B782-6FFE594EEC9C}" name="Time_Units"/>
    <tableColumn id="28" xr3:uid="{CF954FCD-98A8-48B3-BE49-90FDC00DEEAB}" name="Chamber_Pressure"/>
    <tableColumn id="29" xr3:uid="{A32332E4-C7BE-4103-8DD6-B6D294C6E1BD}" name="Back_Pressure"/>
    <tableColumn id="30" xr3:uid="{9C2979D8-4F79-4BC9-A1BE-79FE48A3AB09}" name="Fluid_Used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1CD16-4637-4B5D-B4BB-4FFBAAA6637C}" name="FHK READINGS" displayName="FHK_READINGS" ref="A4:G5" totalsRowShown="0">
  <autoFilter ref="A4:G5" xr:uid="{BF27EF4D-1BD6-42D2-B6FC-77AB77340108}"/>
  <tableColumns count="7">
    <tableColumn id="1" xr3:uid="{D3E39B4E-58DE-4EB2-9C0F-9C6F7E52C6B0}" name="IGNORE"/>
    <tableColumn id="2" xr3:uid="{9DFDEF3D-D57A-4492-95D9-5E937A202388}" name="PointID"/>
    <tableColumn id="3" xr3:uid="{92FF6A2C-734F-4921-84BD-BB6026847A08}" name="Depth"/>
    <tableColumn id="4" xr3:uid="{64276E06-46C7-496F-B19D-0D69D65B1A54}" name="Reading"/>
    <tableColumn id="5" xr3:uid="{00D130E8-2132-44AF-8867-9C290E9A0A35}" name="Head"/>
    <tableColumn id="6" xr3:uid="{55A7A700-8701-4AC0-AF07-258850096D96}" name="Temperature"/>
    <tableColumn id="7" xr3:uid="{0ECD8054-7C66-4D35-B04D-65D8F8B5735F}" name="Permeabilit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33F13A-CB79-4ED5-94BB-054D3A3319D9}" name="FINE SG" displayName="FINE_SG" ref="A4:E5" totalsRowShown="0">
  <autoFilter ref="A4:E5" xr:uid="{EFD24114-A66E-41A6-A772-33FDAB43A105}"/>
  <tableColumns count="5">
    <tableColumn id="1" xr3:uid="{C05BCBF3-7A12-4C14-84C4-210222F66A89}" name="IGNORE"/>
    <tableColumn id="2" xr3:uid="{47187DBC-819A-4BA8-AF8E-ECF5FF07F8C2}" name="PointID"/>
    <tableColumn id="3" xr3:uid="{C9976930-BA8E-410F-A7B4-500306C4C443}" name="Depth"/>
    <tableColumn id="4" xr3:uid="{94724151-53B5-436F-96B6-456E17090135}" name="Specific_Gravity"/>
    <tableColumn id="5" xr3:uid="{167D35AE-73C4-4FAB-AE08-CE238AE35434}" name="Readings_Temperature_Uni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052DCEE-FE14-440A-9787-225BFBEC713D}" name="FINE SG READINGS" displayName="FINE_SG_READINGS" ref="A4:J5" totalsRowShown="0">
  <autoFilter ref="A4:J5" xr:uid="{40137BD3-AFCF-45D3-A3CD-ECF18E09862A}"/>
  <tableColumns count="10">
    <tableColumn id="1" xr3:uid="{2B08DCE3-4C18-40AC-8DB7-D9A24B7A4EF6}" name="IGNORE"/>
    <tableColumn id="2" xr3:uid="{B39DF732-F5CC-412A-B05F-20F48BAD5AF7}" name="PointID"/>
    <tableColumn id="3" xr3:uid="{A4A5597F-C987-4DC0-A18F-63EEDF130DB1}" name="Depth"/>
    <tableColumn id="4" xr3:uid="{3C5343EB-7B8E-4658-AD82-5DBFBBABFD0A}" name="Reading"/>
    <tableColumn id="5" xr3:uid="{63A262A8-7B74-4B5C-B8E7-7400EE7FA3BB}" name="Wt_Bottle_Water"/>
    <tableColumn id="6" xr3:uid="{30021818-B513-4082-9BCA-EE7A41E2A496}" name="Wt_Bottle_Water_Soil"/>
    <tableColumn id="7" xr3:uid="{6DF6568E-2C8A-4B4C-B7DE-8D3D76505315}" name="Wt_Dry_Soil_Tare"/>
    <tableColumn id="8" xr3:uid="{22E1F526-8E5B-4043-8DA1-AE9ACD248CE7}" name="Wt_Tare"/>
    <tableColumn id="9" xr3:uid="{BBECCC0D-1BF4-4D8D-BB27-CA34356FC5B3}" name="Temperature"/>
    <tableColumn id="10" xr3:uid="{E1DAB18B-FF98-4157-AEDB-ED20A8FA3095}" name="Specific_Gravit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9BFBDDC-79A1-4EA2-81E9-716282EECA0B}" name="HAMMER" displayName="HAMMER" ref="A4:E5" totalsRowShown="0">
  <autoFilter ref="A4:E5" xr:uid="{EFDDAE1A-B89A-460F-8A3F-5F51DE615512}"/>
  <tableColumns count="5">
    <tableColumn id="1" xr3:uid="{48CDA23A-746F-4FAB-B81E-8FF4FA0233F6}" name="IGNORE"/>
    <tableColumn id="2" xr3:uid="{003F3790-8CEE-46B0-B760-8841C3C5D769}" name="ItemKey"/>
    <tableColumn id="3" xr3:uid="{31FAB22E-F59F-4E57-B4CB-4449171595A3}" name="Calibration Date" dataDxfId="15"/>
    <tableColumn id="4" xr3:uid="{0ACA3BBB-C4B4-4E9D-BC73-FEABE2194C96}" name="Hammer Type"/>
    <tableColumn id="5" xr3:uid="{9D011CE0-F1C7-4CD3-965F-6427FA37E454}" name="Energy Rati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2153C4-E345-4248-AB1E-D0EAEAB41D5E}" name="HYD READINGS" displayName="HYD_READINGS" ref="A4:I5" totalsRowShown="0">
  <autoFilter ref="A4:I5" xr:uid="{47276E72-7457-4C82-BCF4-B7285A0D1EBA}"/>
  <tableColumns count="9">
    <tableColumn id="1" xr3:uid="{BA55BA70-363D-44FE-A19C-78F8FBEDC4BF}" name="IGNORE"/>
    <tableColumn id="2" xr3:uid="{9DD0FCFD-6D4F-43DF-9354-8C09BEED4E67}" name="PointID"/>
    <tableColumn id="3" xr3:uid="{F9371128-0274-455E-ADC2-F002A0AC0EE9}" name="Depth"/>
    <tableColumn id="4" xr3:uid="{4B03477F-B1AC-40BE-BC27-665FE6822D5B}" name="Reading"/>
    <tableColumn id="5" xr3:uid="{C3CA3D5D-12A5-46D5-9277-625938E8EAD3}" name="Time"/>
    <tableColumn id="6" xr3:uid="{C59AC52F-62F6-483B-946B-B8F1B13067A9}" name="Hydrometer_Reading"/>
    <tableColumn id="7" xr3:uid="{42254299-7FA0-4241-93CA-36E5F9DF3051}" name="Temperature"/>
    <tableColumn id="8" xr3:uid="{DFB4AE96-D289-4B2C-8A5A-EB3A68FDB5A4}" name="Particle_Size"/>
    <tableColumn id="9" xr3:uid="{B270DFE5-53E2-4B29-A46D-1392A450B830}" name="Percent_Finer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BF9FD27-5F3C-4C9D-8B45-426E59822D5C}" name="HYDROMETER" displayName="HYDROMETER" ref="A4:M5" totalsRowShown="0">
  <autoFilter ref="A4:M5" xr:uid="{501C1A26-C000-4423-99F7-9A106971DC56}"/>
  <tableColumns count="13">
    <tableColumn id="1" xr3:uid="{2A4B3675-6F55-4821-88B8-F6E36A964AA5}" name="IGNORE"/>
    <tableColumn id="2" xr3:uid="{569D8CFF-E7D8-4711-B79E-BDBD66BD2381}" name="PointID"/>
    <tableColumn id="3" xr3:uid="{8E0F88C2-E0C5-45B2-9EC0-01F95C5A1ABA}" name="Depth"/>
    <tableColumn id="4" xr3:uid="{2392D8DA-5AD7-402E-8B97-5DA4774FE460}" name="HydrometerID"/>
    <tableColumn id="5" xr3:uid="{73E52243-4818-4141-B123-17DE2A6D8BF5}" name="Wt_Dry_Specimen"/>
    <tableColumn id="6" xr3:uid="{533A576D-C21F-4386-9734-FC96CE5B4D87}" name="Percent_Of_Total"/>
    <tableColumn id="7" xr3:uid="{7602A24A-7B62-4731-8A1F-17ADA3505C88}" name="Specific_Gravity"/>
    <tableColumn id="8" xr3:uid="{9A2DB323-621B-4C9E-973E-C554CEAC8197}" name="Temperature_Units_Test"/>
    <tableColumn id="9" xr3:uid="{23BEC732-B2B8-403F-B9DC-C89046AE0D28}" name="Type"/>
    <tableColumn id="10" xr3:uid="{8E73676A-E177-45D8-AAD6-92A50CEABCEC}" name="Temperature_Units_Calibration"/>
    <tableColumn id="11" xr3:uid="{F097DD74-091E-4632-A7B0-C1C52512F0C2}" name="Calibration_Intercept"/>
    <tableColumn id="12" xr3:uid="{0A1938AC-F47C-4873-A7D1-10692C735464}" name="Calibration_Slope"/>
    <tableColumn id="13" xr3:uid="{4919E4AB-A2AE-4AB0-93B1-4320E4152E88}" name="Calibration_2ndOrderTerm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A12856C-B83A-44C8-960D-20737149C0CA}" name="HYDROMETER CALIBRATIONS" displayName="HYDROMETER_CALIBRATIONS" ref="A4:H5" totalsRowShown="0">
  <autoFilter ref="A4:H5" xr:uid="{8BDF6A78-6EB4-4252-BD72-40A540105D00}"/>
  <tableColumns count="8">
    <tableColumn id="1" xr3:uid="{185EAAA2-D6D0-4EBC-885F-9E3D34E6087C}" name="IGNORE"/>
    <tableColumn id="2" xr3:uid="{53F14E11-EC9C-4B96-9CE4-7F261CDB1D28}" name="ItemKey"/>
    <tableColumn id="3" xr3:uid="{CF00B7E8-8602-461C-9D98-55CCFCA01657}" name="Type"/>
    <tableColumn id="4" xr3:uid="{7ADE40F3-FCC4-4EAF-B8D0-D32D47CE1F02}" name="Temperature_Units"/>
    <tableColumn id="5" xr3:uid="{7EA7FB7D-E1F0-4A26-94D8-80718F4CA678}" name="Calibration_Intercept"/>
    <tableColumn id="6" xr3:uid="{450A8812-84FE-4048-8A01-EE678E57E1B5}" name="Calibration_Slope"/>
    <tableColumn id="7" xr3:uid="{B48193F9-94E2-4147-9ABA-212AA0AEE7DD}" name="Calibration_2ndOrderTerm"/>
    <tableColumn id="8" xr3:uid="{2709C1DE-7DD1-4188-8F05-6C5B30344820}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D584DA-80A7-46F4-8B71-43670422082C}" name="INCLINOMETER INSTALLATION" displayName="INCLINOMETER_INSTALLATION" ref="A4:E5" totalsRowShown="0">
  <autoFilter ref="A4:E5" xr:uid="{B832E40D-4D32-49B6-B362-2CF9569445EB}"/>
  <tableColumns count="5">
    <tableColumn id="1" xr3:uid="{5911E28D-B3F1-4CDB-909E-3AEB740A800D}" name="IGNORE"/>
    <tableColumn id="2" xr3:uid="{F42B62F1-1B2C-4A94-B803-8645CB5CFE08}" name="PointID"/>
    <tableColumn id="3" xr3:uid="{AAE0D526-D1AB-4EC8-BD2C-E1AFD26D439C}" name="Initial Reading Date"/>
    <tableColumn id="4" xr3:uid="{575DFA10-B92D-44CE-AC90-0C173DF4A310}" name="Inclinometer Graph Min Override"/>
    <tableColumn id="5" xr3:uid="{F39878EB-2806-4569-ABD2-A74DDA9F405F}" name="Inclinometer Graph Max Overri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23BABC3-4710-4ED6-87C6-41B87CB0C11A}" name="INCLINOMETER READINGS" displayName="INCLINOMETER_READINGS" ref="A4:H5" totalsRowShown="0">
  <autoFilter ref="A4:H5" xr:uid="{8CA23513-C001-4ED3-87E8-D13A4F61AB45}"/>
  <tableColumns count="8">
    <tableColumn id="1" xr3:uid="{84650A36-D690-404D-AEBF-888EE11519E7}" name="IGNORE"/>
    <tableColumn id="2" xr3:uid="{3003BC1D-37EC-4CCD-B9AE-8E2CFA719DD5}" name="PointID"/>
    <tableColumn id="3" xr3:uid="{953D73E6-5D72-4B6D-B5BF-1FC9BD54FC9F}" name="DateTime"/>
    <tableColumn id="4" xr3:uid="{D5493899-668D-446D-9DEE-251F4E7D2FD0}" name="Depth"/>
    <tableColumn id="5" xr3:uid="{F08D3362-66C4-4E00-B23D-83D5C329D1A0}" name="A-Axis Incremental Displacement"/>
    <tableColumn id="6" xr3:uid="{2C3D6474-C560-4F3B-8680-013B0157D93A}" name="A-Axis Cumulative Displacement"/>
    <tableColumn id="7" xr3:uid="{220FF508-A374-4BA1-B783-0C1429BB5BF7}" name="B-Axis Incremental Displacement"/>
    <tableColumn id="8" xr3:uid="{98F281E5-0CC5-44D1-8117-F15E3D603DA6}" name="B-Axis Cumulative Displacement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F6BAB99-7411-4B65-B246-C204DC840FB8}" name="INCLINOMETER RESULTS" displayName="INCLINOMETER_RESULTS" ref="A4:F5" totalsRowShown="0">
  <autoFilter ref="A4:F5" xr:uid="{35DCA0B3-9478-45DB-879A-569D9FE1F3AF}"/>
  <tableColumns count="6">
    <tableColumn id="1" xr3:uid="{5BD787A5-5CA8-4830-98C3-8A2EA3081971}" name="IGNORE"/>
    <tableColumn id="2" xr3:uid="{ECA883CE-4AC3-4040-A8C6-89FF8E8084E0}" name="PointID"/>
    <tableColumn id="3" xr3:uid="{9BA9F903-3C85-4FC0-B74C-2B518118003E}" name="DateTime"/>
    <tableColumn id="4" xr3:uid="{1945D770-7DDA-4C19-8F85-29B2B3E996D9}" name="Logged By"/>
    <tableColumn id="5" xr3:uid="{72595B91-8730-4E41-B010-EB9D01C28702}" name="Comments"/>
    <tableColumn id="6" xr3:uid="{78557CFF-4459-4D3E-A7C5-80CAC9A499B4}" name="Do Not Plot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B368899-7BC6-49A0-AA16-43797FD0FE8A}" name="INTERBEDDED ROCK" displayName="INTERBEDDED_ROCK" ref="A4:M5" totalsRowShown="0">
  <autoFilter ref="A4:M5" xr:uid="{7C108DCF-D6EB-46AB-BAE4-0DC9F1B36980}"/>
  <tableColumns count="13">
    <tableColumn id="1" xr3:uid="{A14F7A42-3CCE-4E7D-811D-D1A2A935B417}" name="IGNORE"/>
    <tableColumn id="2" xr3:uid="{7B599165-7EE9-4065-B08D-3E97EDD21392}" name="PointID"/>
    <tableColumn id="3" xr3:uid="{1001EB40-47EE-4338-8EF8-879780AFC442}" name="Depth"/>
    <tableColumn id="4" xr3:uid="{FE7B6314-DB30-436E-B6ED-D0A367D60E54}" name="Reading"/>
    <tableColumn id="5" xr3:uid="{1C70F350-7CF4-426A-B9AC-5808528DBCBE}" name="Interbed Percent"/>
    <tableColumn id="6" xr3:uid="{1D1C820C-F411-4F3F-B22F-7D51CA0CB643}" name="Type"/>
    <tableColumn id="7" xr3:uid="{FBEB0CCD-DD42-4723-963D-B7D55FE2CA18}" name="Primary Color Code"/>
    <tableColumn id="8" xr3:uid="{007C8482-8EA7-48DC-8B95-77A73926C8C5}" name="Primary Weathering"/>
    <tableColumn id="9" xr3:uid="{BB98AF6B-EFFB-4FDC-890B-3020BDBC48E2}" name="Compressive Strength1"/>
    <tableColumn id="10" xr3:uid="{729CA999-F305-476C-9F44-9A69435CF0BA}" name="Texture"/>
    <tableColumn id="11" xr3:uid="{CE6DB116-378F-4D71-BF26-930700820B59}" name="Structure Thickness"/>
    <tableColumn id="12" xr3:uid="{3C7184E7-8B52-479F-94A9-044CB6AB3782}" name="Type Modifier"/>
    <tableColumn id="13" xr3:uid="{0F5A51C2-3977-49FB-BC7E-B155013882C0}" name="Additional Description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58EE3E6-A3C5-4A66-AECD-A738635C2739}" name="LAB SPECIMEN" displayName="LAB_SPECIMEN" ref="A4:T5" totalsRowShown="0">
  <autoFilter ref="A4:T5" xr:uid="{F9D8FB03-7184-4272-9960-B225C3C44DA8}"/>
  <tableColumns count="20">
    <tableColumn id="1" xr3:uid="{258CAC05-B281-4BBF-80F5-C957A4BB05F8}" name="IGNORE"/>
    <tableColumn id="2" xr3:uid="{9B29B451-3DAC-49C6-91FF-BBEDE00C8735}" name="PointID"/>
    <tableColumn id="3" xr3:uid="{DC074C2A-47CA-4BBE-AFD7-97031C56E59C}" name="Depth"/>
    <tableColumn id="4" xr3:uid="{B28E821C-D8A4-4DB5-975F-F62517A4DC68}" name="Bottom"/>
    <tableColumn id="5" xr3:uid="{8E942EC4-9E0F-464F-AC7F-200731974CF3}" name="Field Sample Number"/>
    <tableColumn id="6" xr3:uid="{CB98F14E-4AA9-4BB7-BBCE-1746D2FBCF0C}" name="Lab Sample Number"/>
    <tableColumn id="7" xr3:uid="{46E63CE4-255E-4759-ABA0-2E579296BB87}" name="Hand Penetrometer"/>
    <tableColumn id="8" xr3:uid="{96A28EFF-A4DA-49E7-86A3-4337CC155280}" name="Visual Moisture"/>
    <tableColumn id="9" xr3:uid="{F7C3F253-9BAD-4A0D-9532-04DF9E3131FA}" name="Lab Moisture"/>
    <tableColumn id="10" xr3:uid="{8FD17571-712E-47C0-AB4C-0B202B883578}" name="Visual Classification"/>
    <tableColumn id="11" xr3:uid="{670007E0-37C7-410B-9146-5A7C943131AB}" name="Use Visual"/>
    <tableColumn id="12" xr3:uid="{9DCCD9E5-3F5D-4E07-8AFB-393A2BF948A8}" name="Lab Classification"/>
    <tableColumn id="13" xr3:uid="{9A08428A-A9C2-4267-AD55-F0F3DF5333E0}" name="Group Index"/>
    <tableColumn id="14" xr3:uid="{79A842FD-C6E7-4F09-A00C-C86E7AE47E38}" name="Specific_Gravity"/>
    <tableColumn id="15" xr3:uid="{5E1F1819-49CA-4237-93AD-08215BDD8EE0}" name="PID"/>
    <tableColumn id="16" xr3:uid="{66027B89-5686-4B2C-8ABD-AF2219CB5050}" name="Sample Tested"/>
    <tableColumn id="17" xr3:uid="{376B70BB-E148-4D4D-AAE3-E835B390CD45}" name="RDR"/>
    <tableColumn id="18" xr3:uid="{FF397F4C-9683-49F6-B03B-6DCCE9469390}" name="Specific Gravity"/>
    <tableColumn id="19" xr3:uid="{493B2177-8838-415B-BD38-71E137E27980}" name="combine" dataDxfId="14">
      <calculatedColumnFormula>LAB_SPECIMEN[[#This Row],[PointID]]&amp;LAB_SPECIMEN[[#This Row],[Depth]]</calculatedColumnFormula>
    </tableColumn>
    <tableColumn id="20" xr3:uid="{0EEDD2CC-916A-4875-8818-4F09AF587DA4}" name="base2use" dataDxfId="13">
      <calculatedColumnFormula>LAB_SPECIMEN[[#This Row],[Bottom]]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FDF6CF9-255D-4ECB-8CFF-7C36979EB226}" name="LITHOLOGY" displayName="LITHOLOGY" ref="A4:J5" totalsRowShown="0">
  <autoFilter ref="A4:J5" xr:uid="{2C75DC2D-3E96-4474-A6D1-8422BA209791}"/>
  <tableColumns count="10">
    <tableColumn id="1" xr3:uid="{2EFAAA6F-C730-47F5-8886-3DCB1809416C}" name="IGNORE"/>
    <tableColumn id="2" xr3:uid="{BFFFEA4D-51FA-47D1-A9AD-ED8B308CFEB3}" name="PointID"/>
    <tableColumn id="3" xr3:uid="{11AEEBEC-9E99-4465-9340-07BF1E3703E5}" name="Depth"/>
    <tableColumn id="4" xr3:uid="{43E9461C-3BF2-42CF-B1B4-BB1DFF81244D}" name="Bottom"/>
    <tableColumn id="5" xr3:uid="{9CAF4236-BFCC-4B02-BFFE-E01849EE9BCB}" name="Graphic"/>
    <tableColumn id="6" xr3:uid="{50D6C089-BE7D-4E50-B0FF-5DC4A9439E80}" name="USCS"/>
    <tableColumn id="7" xr3:uid="{11C42FBF-D4DC-4FF6-8CEC-F7C99BE84382}" name="Description"/>
    <tableColumn id="8" xr3:uid="{03C32531-3A74-476D-A6F7-92DA727133FF}" name="Line Type"/>
    <tableColumn id="9" xr3:uid="{A65D16F4-E83D-4AB7-8BFB-A5993233D7B2}" name="soil" dataDxfId="12">
      <calculatedColumnFormula>IF(COUNTIF(LITHOLOGY_SOIL[[#All],[LocationDepth]],LITHOLOGY[[#This Row],[PointID]]&amp;LITHOLOGY[[#This Row],[Depth]])&gt;0,1,IF(LITHOLOGY[[#This Row],[Depth]]=0,1,""))</calculatedColumnFormula>
    </tableColumn>
    <tableColumn id="10" xr3:uid="{E37EB08F-3057-4784-9414-27DD723644CB}" name="rock" dataDxfId="11">
      <calculatedColumnFormula>IF(COUNTIF(LITHOLOGY_ROCK[[#All],[locationdepth]],LITHOLOGY[[#This Row],[PointID]]&amp;LITHOLOGY[[#This Row],[Depth]])&gt;0,1,"")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1EDB495-BBFB-4545-8355-99F56CAA140E}" name="LITHOLOGY ROCK" displayName="LITHOLOGY_ROCK" ref="A4:N5" totalsRowShown="0">
  <autoFilter ref="A4:N5" xr:uid="{CBE72BDC-04C5-453E-B15A-632378E869B9}"/>
  <tableColumns count="14">
    <tableColumn id="1" xr3:uid="{4A178E4E-E2F6-4D1B-803E-7576E360398A}" name="IGNORE"/>
    <tableColumn id="2" xr3:uid="{FEDB97EC-B783-42A7-BE3B-D4CF50C88002}" name="PointID"/>
    <tableColumn id="3" xr3:uid="{8364D5E5-5B47-4DA5-9B43-8F81FE15A7F8}" name="Depth"/>
    <tableColumn id="4" xr3:uid="{81316E76-3C0F-4760-90FC-98132C2C707E}" name="Type"/>
    <tableColumn id="5" xr3:uid="{71D01656-478C-44C8-B4F6-C35001200CA4}" name="Primary Color Code"/>
    <tableColumn id="6" xr3:uid="{51F1BD43-777C-41E7-AFAD-7E46624C22EB}" name="Primary Weathering"/>
    <tableColumn id="7" xr3:uid="{669E0C92-8FD8-43F4-BE28-E1BE027D05E9}" name="Compressive Strength1"/>
    <tableColumn id="8" xr3:uid="{891CCF42-65F1-446B-8AC5-6BD5F81B5D77}" name="Texture"/>
    <tableColumn id="9" xr3:uid="{A61C9CFF-4F5B-48CB-B882-17B58544ECE9}" name="Structure Thickness"/>
    <tableColumn id="10" xr3:uid="{0C84DF2A-DD44-430A-BD3C-0AED59785D8E}" name="Type Modifier"/>
    <tableColumn id="11" xr3:uid="{FC1A64F9-0605-4D46-8515-CE04B49A59AC}" name="Additional Description"/>
    <tableColumn id="12" xr3:uid="{9A8F693E-AC86-4A97-93B8-F17C514F39C5}" name="Unit RQD"/>
    <tableColumn id="13" xr3:uid="{A1929187-5AD7-4043-932C-AA63E0632F76}" name="Unit Recovery"/>
    <tableColumn id="14" xr3:uid="{88E1FAA2-977A-49BE-8E4A-5D0FA8435FB6}" name="locationdepth" dataDxfId="10">
      <calculatedColumnFormula>LITHOLOGY_ROCK[[#This Row],[PointID]]&amp;LITHOLOGY_ROCK[[#This Row],[Depth]]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5E5BB6-5B9F-475E-B4F1-5810C22B9C2A}" name="LITHOLOGY SOIL" displayName="LITHOLOGY_SOIL" ref="A4:K5" totalsRowShown="0">
  <autoFilter ref="A4:K5" xr:uid="{D4DEDBB1-D2A2-4C25-9C86-3A1606AF0270}"/>
  <tableColumns count="11">
    <tableColumn id="1" xr3:uid="{680CA4D5-2764-41DA-B9F6-BD6681EAA11A}" name="IGNORE"/>
    <tableColumn id="2" xr3:uid="{414CEB1C-3155-4619-8508-00FEB9E66361}" name="PointID"/>
    <tableColumn id="3" xr3:uid="{66470E99-C01E-4216-BA27-8DC3755D4755}" name="Depth"/>
    <tableColumn id="4" xr3:uid="{DFF11494-6259-4F74-B0D6-1D0935AA8D42}" name="Fill"/>
    <tableColumn id="5" xr3:uid="{66E0F17D-BE9B-4C0D-9CE1-6F01B736D49C}" name="Cohesive Consistency"/>
    <tableColumn id="6" xr3:uid="{07763279-EE20-4874-A6FD-937B02683EBA}" name="Primary Color1"/>
    <tableColumn id="7" xr3:uid="{5BAA185C-1D15-4883-A22F-8BD22EB5014F}" name="Primary Major Constituent"/>
    <tableColumn id="8" xr3:uid="{E4863994-2237-43B4-83B3-DC172EB1F874}" name="Minor Constituent1"/>
    <tableColumn id="9" xr3:uid="{5AC7319B-2C47-4934-8760-2D1A99534B84}" name="Additional Description"/>
    <tableColumn id="10" xr3:uid="{93C64840-2D7A-4FDE-87A2-27B934C0ACEC}" name="Primary Moisture"/>
    <tableColumn id="11" xr3:uid="{CAFEC670-403A-4C88-BC8B-20C20C0F5CF6}" name="LocationDepth" dataDxfId="9">
      <calculatedColumnFormula>LITHOLOGY_SOIL[[#This Row],[PointID]]&amp;LITHOLOGY_SOIL[[#This Row],[Depth]]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B384FE9-D80F-4E34-9AE5-95F9A4F7E756}" name="LOAD RINGS" displayName="LOAD_RINGS" ref="A4:G5" totalsRowShown="0">
  <autoFilter ref="A4:G5" xr:uid="{C1E21CAD-F2C2-4BFD-96BF-C83996219F20}"/>
  <tableColumns count="7">
    <tableColumn id="1" xr3:uid="{05BAC8FF-9242-4AE9-B4F0-E23BD20F5E59}" name="IGNORE"/>
    <tableColumn id="2" xr3:uid="{78D360D1-95C0-4F8D-9A94-49EBFF28961F}" name="ItemKey"/>
    <tableColumn id="3" xr3:uid="{D3603A6B-99B1-430C-9A32-8F3C70250AF5}" name="Slope_Initial"/>
    <tableColumn id="4" xr3:uid="{240731C3-8C65-4FEF-99DB-A2FD94C37ACC}" name="Slope_Break"/>
    <tableColumn id="5" xr3:uid="{F27DA120-82AF-42F1-B6C0-87C5CA5D4CBB}" name="Slope_2ndary"/>
    <tableColumn id="6" xr3:uid="{28E0AF9A-8C13-4B93-B2ED-B799D6FCD86C}" name="Load_Units"/>
    <tableColumn id="7" xr3:uid="{BE07E209-F8F1-44AF-8CCB-D087B1772841}" name="Note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79BD570-41AF-4063-9892-ED7F7A2FB865}" name="LOGGED BY" displayName="LOGGED_BY" ref="A4:B5" totalsRowShown="0">
  <autoFilter ref="A4:B5" xr:uid="{7E9D8CD5-D3E5-46DA-9C3F-707E6CBE72C8}"/>
  <tableColumns count="2">
    <tableColumn id="1" xr3:uid="{BF9C912D-195E-4E7A-858C-A3F2E7DFDA30}" name="IGNORE"/>
    <tableColumn id="2" xr3:uid="{F0C74CE6-90FA-4854-B0D1-E2BF0E1500F8}" name="ItemKey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0936152-0987-45EF-9633-7BCCAF990F4F}" name="POINT" displayName="POINT" ref="A4:AE5" totalsRowShown="0">
  <autoFilter ref="A4:AE5" xr:uid="{D971A8E1-D467-46A5-B68F-202C9EBD545C}"/>
  <tableColumns count="31">
    <tableColumn id="1" xr3:uid="{D678DEE3-FD1A-4194-9EB2-E57296225D5C}" name="IGNORE"/>
    <tableColumn id="2" xr3:uid="{587B6648-CB24-4CC6-B6FF-15E1999E3BA6}" name="PointID"/>
    <tableColumn id="3" xr3:uid="{47A3E559-59EC-4C03-B6D5-32AE646D8893}" name="Bridge ID"/>
    <tableColumn id="4" xr3:uid="{7FA6C2DD-AC03-4DCB-9F45-FAE04D56BC2F}" name="Reference Alignment"/>
    <tableColumn id="5" xr3:uid="{A8514EE4-F176-41DB-AABD-7BB1845045E1}" name="Station"/>
    <tableColumn id="6" xr3:uid="{1D040E39-EE56-4DE7-BF60-8C01C8A995CA}" name="Offset"/>
    <tableColumn id="7" xr3:uid="{33F79C26-5E20-461C-9456-9538D0ABF45C}" name="Offset Direction"/>
    <tableColumn id="8" xr3:uid="{3A72609F-43B6-41BE-A6C1-4FBDC37369F2}" name="Date Started" dataDxfId="8"/>
    <tableColumn id="9" xr3:uid="{4FFEA2C5-8BAA-45CF-B9A4-5B35B768159B}" name="Date Finished" dataDxfId="7"/>
    <tableColumn id="10" xr3:uid="{E5438508-CC87-44A8-8F64-AE8F1750EF4B}" name="Elevation"/>
    <tableColumn id="11" xr3:uid="{5CF87005-42F3-4975-8F01-3A07548AEA36}" name="Approximate"/>
    <tableColumn id="12" xr3:uid="{7AFCDB85-09BE-467B-9172-AE9773A170A1}" name="HoleDepth"/>
    <tableColumn id="13" xr3:uid="{252FB94A-27D7-4191-BB89-B8CBF4BF0013}" name="Depth to Rock"/>
    <tableColumn id="14" xr3:uid="{C9A733FB-2055-4234-B3F6-0EB8DA3FBB6E}" name="Drilling Firm"/>
    <tableColumn id="15" xr3:uid="{91AAA225-3071-4BE5-A299-53FCC70E6B8B}" name="Drill Operator"/>
    <tableColumn id="16" xr3:uid="{4EA4AF9B-84CC-4A16-AB58-CCF20282410B}" name="Sampling Firm"/>
    <tableColumn id="17" xr3:uid="{774EE812-A306-423B-A936-159D5907C4E5}" name="Logged By"/>
    <tableColumn id="18" xr3:uid="{B2457DB1-797A-4D28-BB3E-66FC89887642}" name="Drill Rig"/>
    <tableColumn id="19" xr3:uid="{7213AC9E-F9CB-417B-A92D-816A44978FB7}" name="Soil Drill Method"/>
    <tableColumn id="20" xr3:uid="{17DAB942-9A6F-42ED-A27B-12CD4ED88E5E}" name="Rock Core Method"/>
    <tableColumn id="21" xr3:uid="{76D880F7-E4E4-4F26-AC6B-57BF7CD56C13}" name="Sampling Method"/>
    <tableColumn id="22" xr3:uid="{934A7F80-8791-4397-8656-20A1244E3965}" name="Latitude"/>
    <tableColumn id="23" xr3:uid="{DF6AADAF-1880-4506-AC7A-DB4270AEEE3E}" name="Longitude"/>
    <tableColumn id="24" xr3:uid="{C8610C66-10F9-4FD5-9B95-9BA9E73CBE91}" name="North"/>
    <tableColumn id="25" xr3:uid="{27C54958-FB67-4C34-BAB4-D256C72396B6}" name="NAN"/>
    <tableColumn id="26" xr3:uid="{6292F550-6583-4874-88E3-84C9F02F50F4}" name="East"/>
    <tableColumn id="27" xr3:uid="{7BCA7CDB-11DD-4B29-BAC1-8B2F1A34D4BF}" name="NAE"/>
    <tableColumn id="28" xr3:uid="{20BB7FFD-CB87-4A13-A16D-F571EC08E9A3}" name="Plunge"/>
    <tableColumn id="29" xr3:uid="{366267D4-8086-4175-817F-60CBEACEB92E}" name="Depth Log Page"/>
    <tableColumn id="30" xr3:uid="{77EAA55A-7835-40C5-9784-1DF4923F352A}" name="Drilling Notes"/>
    <tableColumn id="31" xr3:uid="{BAF08848-63EE-4213-A969-73F255AB3404}" name="offsetnounit" dataDxfId="6">
      <calculatedColumnFormula>SUBSTITUTE(POINT[[#This Row],[Offset]],"'","")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2A69A4C-2FBB-429B-8E1F-27646ADA6778}" name="PROJECT" displayName="PROJECT" ref="A4:T5" totalsRowShown="0">
  <autoFilter ref="A4:T5" xr:uid="{22AC53AE-47A1-49AB-A37E-4A4DF2B7A39A}"/>
  <tableColumns count="20">
    <tableColumn id="1" xr3:uid="{490AED5D-1BBA-4E60-90EB-C01C766FA08D}" name="IGNORE"/>
    <tableColumn id="2" xr3:uid="{A560A70C-D98E-41AE-A2E2-90CE72E480AF}" name="Location"/>
    <tableColumn id="3" xr3:uid="{F8BCA7F9-F30F-4350-8C35-4D2779CC5496}" name="County"/>
    <tableColumn id="4" xr3:uid="{8DA77CB0-5056-422B-9285-A8939F95A1DB}" name="Route"/>
    <tableColumn id="5" xr3:uid="{5BE5DA04-DC53-44C9-89D3-2ABB1CEC1E0D}" name="Section"/>
    <tableColumn id="6" xr3:uid="{A18AFAD3-0D8D-4541-BBEC-FFF66A2D0D1E}" name="Alt_Name"/>
    <tableColumn id="7" xr3:uid="{88C78F61-7788-4FB1-98DC-4CFB44230EAB}" name="Type"/>
    <tableColumn id="8" xr3:uid="{0DA3971F-190F-4E43-988B-D1145EE6CEC6}" name="Number"/>
    <tableColumn id="9" xr3:uid="{533BF127-5889-419D-93C9-881C1954AC8D}" name="Bridge ID"/>
    <tableColumn id="10" xr3:uid="{CE1859D4-861C-4488-A157-424D27D1E7A8}" name="Reference Alignment"/>
    <tableColumn id="11" xr3:uid="{823E294C-6192-4A6D-9108-0087FF3261D4}" name="Elevation Datum"/>
    <tableColumn id="12" xr3:uid="{837E38B3-7691-4294-835E-8F5CC785B897}" name="Input Units"/>
    <tableColumn id="13" xr3:uid="{DDAA0E80-89BC-4A18-A148-75DC54F2FFF4}" name="Output Units"/>
    <tableColumn id="14" xr3:uid="{0D403C3A-B298-4228-BB84-651A88D5BBE2}" name="Water_Unit_Wt"/>
    <tableColumn id="15" xr3:uid="{28713C65-47F4-4ED9-93E9-17708EA90247}" name="Coeff_of_Consol_Factor"/>
    <tableColumn id="16" xr3:uid="{363C04C8-ECAA-4308-9241-B81478B3417F}" name="Depth Log Page"/>
    <tableColumn id="17" xr3:uid="{CA7B8F43-4E40-498F-8665-9AAAC98EEA1E}" name="Inclinometer Graph Min"/>
    <tableColumn id="18" xr3:uid="{1EF324CA-89BA-43FD-8B0C-EE8CADD143BB}" name="Inclinometer Graph Max"/>
    <tableColumn id="19" xr3:uid="{3D610F88-1891-4D50-8976-38150913698E}" name="Project Number"/>
    <tableColumn id="20" xr3:uid="{668B3372-12BE-42BB-9D40-A93F0E1C9231}" name="Client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214A79F-BC07-46A6-83B3-1B02017F33DF}" name="ROCK UNCONF COMPR" displayName="ROCK_UNCONF_COMPR" ref="A4:K5" totalsRowShown="0">
  <autoFilter ref="A4:K5" xr:uid="{C1982B89-E704-4B23-B2FC-BE28D62E9515}"/>
  <tableColumns count="11">
    <tableColumn id="1" xr3:uid="{BBCEC3B0-ED51-4C1A-AB1D-538EDB296751}" name="IGNORE"/>
    <tableColumn id="2" xr3:uid="{EFBA8995-787F-4F52-B160-72638B888CBA}" name="PointID"/>
    <tableColumn id="3" xr3:uid="{F4BF2F27-A61E-4928-9BB0-B0CF503D62E7}" name="Depth"/>
    <tableColumn id="4" xr3:uid="{F8308294-162C-419F-9040-A8EF6601A632}" name="Depth Entered"/>
    <tableColumn id="5" xr3:uid="{F61BDCF0-6FB4-4FDB-8BAC-C6DCA3429DF4}" name="Moisture"/>
    <tableColumn id="6" xr3:uid="{6AD67303-E3FB-4F8D-B875-EC18C7CBC029}" name="Description"/>
    <tableColumn id="7" xr3:uid="{B4EAD8DE-0F1F-408B-BAA9-EDD776B6417E}" name="qr"/>
    <tableColumn id="8" xr3:uid="{6A3736BE-3138-4630-850A-4978401B2B1E}" name="qr corr"/>
    <tableColumn id="9" xr3:uid="{68AD8AD5-D390-489E-A381-9F43739FCFB0}" name="strain"/>
    <tableColumn id="10" xr3:uid="{BAC97BD2-D0D1-4EE6-BB8B-3E8CB7936CAA}" name="Diameter"/>
    <tableColumn id="11" xr3:uid="{3B2DF098-87BC-4B3D-91B4-975B19B0DD92}" name="Length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EB07209-DB84-45A9-B1FB-FF84FEE1F1F7}" name="SAMPLE" displayName="SAMPLE" ref="A4:U5" totalsRowShown="0">
  <autoFilter ref="A4:U5" xr:uid="{8CBE1897-EDD3-4F53-8790-1BA6AB02E137}"/>
  <tableColumns count="21">
    <tableColumn id="1" xr3:uid="{D779D6B6-7273-4347-8654-B53C4DA97A1B}" name="IGNORE"/>
    <tableColumn id="2" xr3:uid="{801CD3F6-B3CB-4BAD-9452-998595D7A642}" name="PointID"/>
    <tableColumn id="3" xr3:uid="{EB3F1E14-110F-452D-A6C0-6009D2EE7433}" name="Depth" dataDxfId="5"/>
    <tableColumn id="4" xr3:uid="{CA9CFCB2-8379-4681-8F75-474962553E51}" name="Length"/>
    <tableColumn id="5" xr3:uid="{5B24B35C-569F-4091-84AF-DD7F962A233D}" name="Recovery Length"/>
    <tableColumn id="6" xr3:uid="{D5E51E0C-CC3D-4091-8F1B-0C55AFFB5D8C}" name="Type"/>
    <tableColumn id="7" xr3:uid="{8284037A-7D6D-4A86-9F90-BE41E7D9EF38}" name="Smpl_No"/>
    <tableColumn id="8" xr3:uid="{C21DA58B-8CCA-4E7D-85C4-5F46AFA78BB3}" name="Blows 1st"/>
    <tableColumn id="9" xr3:uid="{3E00F825-0722-4BA0-BB57-ED652ADA5D73}" name="Blows 2nd"/>
    <tableColumn id="10" xr3:uid="{C3D1C078-D9C3-4CB5-9E03-46007193CF40}" name="Blows 3rd"/>
    <tableColumn id="11" xr3:uid="{DBEFBAFA-CA47-4151-99E4-B91149EF1F42}" name="Blows 4th"/>
    <tableColumn id="12" xr3:uid="{9929031D-25EB-4824-BE8F-0992B6A010C5}" name="WOH WOR"/>
    <tableColumn id="13" xr3:uid="{2319238A-BDB6-4C63-9514-6C125BC3F2DA}" name="RQD Length"/>
    <tableColumn id="14" xr3:uid="{2BBD2A4D-3630-4940-A1FF-44E6572A92FC}" name="SAMPLE USCS"/>
    <tableColumn id="15" xr3:uid="{DF5104AF-00E2-4910-93E1-0DA894C58CF8}" name="LBI"/>
    <tableColumn id="16" xr3:uid="{0813A49E-56FC-4BA9-BEFF-7632E1DDB5B1}" name="SULFATE"/>
    <tableColumn id="17" xr3:uid="{7DBD00F1-728E-4E05-A92F-A55755B78FCD}" name="n-value" dataDxfId="4">
      <calculatedColumnFormula>IF(SAMPLE[[#This Row],[Blows 3rd]]&lt;&gt;"",SAMPLE[[#This Row],[Blows 2nd]]+SAMPLE[[#This Row],[Blows 3rd]],"")</calculatedColumnFormula>
    </tableColumn>
    <tableColumn id="18" xr3:uid="{32EF3E25-585B-43B8-A8E0-9D3FB1420225}" name="base" dataDxfId="3">
      <calculatedColumnFormula>SAMPLE[[#This Row],[Depth]]+(SAMPLE[[#This Row],[Length]]/12)</calculatedColumnFormula>
    </tableColumn>
    <tableColumn id="19" xr3:uid="{EB7D0E4B-A1C9-4A69-A72C-F5B544100233}" name="pen1" dataDxfId="2">
      <calculatedColumnFormula>IF(SAMPLE[[#This Row],[Length]]&gt;6,6,SAMPLE[[#This Row],[Length]])</calculatedColumnFormula>
    </tableColumn>
    <tableColumn id="20" xr3:uid="{10857254-8E03-40A6-8633-7FD00C480E64}" name="pen2" dataDxfId="1">
      <calculatedColumnFormula>IF(SAMPLE[[#This Row],[Length]]&gt;12,6,SAMPLE[[#This Row],[Length]]-6)</calculatedColumnFormula>
    </tableColumn>
    <tableColumn id="21" xr3:uid="{0260FD6D-5503-4F5A-91CD-134A89F1EE40}" name="pen3" dataDxfId="0">
      <calculatedColumnFormula>IF(SAMPLE[[#This Row],[Length]]=18,6,SAMPLE[[#This Row],[Length]]-12)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EC634FA-CAF4-41B3-8114-5CA6EA6621CF}" name="SAMPLING FIRM" displayName="SAMPLING_FIRM" ref="A4:B5" totalsRowShown="0">
  <autoFilter ref="A4:B5" xr:uid="{0F71FAB7-EF1C-4E07-8DC6-E0844CD43231}"/>
  <tableColumns count="2">
    <tableColumn id="1" xr3:uid="{C1E8C084-5C38-494C-93A7-592CD7C76226}" name="IGNORE"/>
    <tableColumn id="2" xr3:uid="{FEB48BC8-ACC9-470A-AC2A-6AF210B693D8}" name="ItemKey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32D85B7-F8B7-4912-80F0-75D869DCD91F}" name="SIEVE" displayName="SIEVE" ref="A4:S5" totalsRowShown="0">
  <autoFilter ref="A4:S5" xr:uid="{753F9F36-7BF3-4D6D-9B2A-096E2E845D3D}"/>
  <tableColumns count="19">
    <tableColumn id="1" xr3:uid="{23384AF4-C977-4D6D-A80A-2D11D235C07A}" name="IGNORE"/>
    <tableColumn id="2" xr3:uid="{59D72009-DA9C-40DA-AC1D-2AC1047CA34E}" name="PointID"/>
    <tableColumn id="3" xr3:uid="{FD6C8FDD-3F99-49BD-9FE7-1A94052DCDBD}" name="Depth"/>
    <tableColumn id="4" xr3:uid="{D71131AD-AC77-4605-8773-EE76B3028AE1}" name="Wt_Total_Spec"/>
    <tableColumn id="5" xr3:uid="{63EBD62A-C9C9-4578-83E7-5031F956071B}" name="Wt_Passing_Split_Sieve"/>
    <tableColumn id="6" xr3:uid="{BBE325E4-FE36-40EE-B6AA-25FC73FFE16D}" name="Wt_Fines_Tested"/>
    <tableColumn id="7" xr3:uid="{88666BD8-3E2C-4DBA-AABD-21D080FC5BAD}" name="Size_Split_Sieve"/>
    <tableColumn id="8" xr3:uid="{B308EA03-A7E9-43A8-8360-54F84979C091}" name="Weighing_Method"/>
    <tableColumn id="9" xr3:uid="{FDE2CDB3-FEB0-492B-9055-AFDB66AA76DB}" name="Wt_Sieving_Tare_Coarse"/>
    <tableColumn id="10" xr3:uid="{E358C861-29EE-483B-AA4F-13FB0F76E99D}" name="Wt_Sieving_Tare_Fine"/>
    <tableColumn id="11" xr3:uid="{33636299-F292-4D37-A5AA-82A19EF08FD6}" name="WC_Wt_Wet_Fine"/>
    <tableColumn id="12" xr3:uid="{8785543F-CAF6-4902-9285-0EB22AE3B4C0}" name="WC_Wt_Dry_Fine"/>
    <tableColumn id="13" xr3:uid="{C1A17C35-B99F-4AF1-9D75-81738353B240}" name="WC_Wt_Tare_Fine"/>
    <tableColumn id="14" xr3:uid="{DECC13E9-35BB-4323-8CF0-E9CE75124FA8}" name="Water_Content_Fine"/>
    <tableColumn id="15" xr3:uid="{A1203588-5879-440C-84DC-2548ABB3F069}" name="Water_Content_Coarse"/>
    <tableColumn id="16" xr3:uid="{22F80F2A-E099-47EB-9902-6D7B3E77F672}" name="WC_Wt_Dry_Coarse"/>
    <tableColumn id="17" xr3:uid="{3D9CFC81-E93D-40C8-AE66-E993CB9F8CC2}" name="WC_Wt_Wet_Coarse"/>
    <tableColumn id="18" xr3:uid="{8F309375-59AF-4588-B919-4629275D73DF}" name="WC_Wt_Tare_Coarse"/>
    <tableColumn id="19" xr3:uid="{4934EFD5-130D-4980-A72B-142D6585CEE0}" name="Coarse_Sieved_Wet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0ACAB0E-F03E-4945-ACFE-972F58085AF5}" name="SV READINGS" displayName="SV_READINGS" ref="A4:G5" totalsRowShown="0">
  <autoFilter ref="A4:G5" xr:uid="{6505E9EC-CA28-46B9-A27D-54BFD2E20A80}"/>
  <tableColumns count="7">
    <tableColumn id="1" xr3:uid="{2A45546C-7283-4D28-8E12-0AE11B302575}" name="IGNORE"/>
    <tableColumn id="2" xr3:uid="{BFCE4689-7C9A-44A4-949B-D4F6703E1936}" name="PointID"/>
    <tableColumn id="3" xr3:uid="{B9BB83BD-C013-4B6F-9A31-12E62B945DA1}" name="Depth"/>
    <tableColumn id="4" xr3:uid="{09DF37FB-DD59-4D2A-80B2-55FFBEC9D879}" name="Reading"/>
    <tableColumn id="5" xr3:uid="{931DE02C-67DA-4210-9AEB-E10A104391A0}" name="Name"/>
    <tableColumn id="6" xr3:uid="{A420E13C-BBA8-4E2D-9D5F-9BE69D1C4B9E}" name="Soil_Tare"/>
    <tableColumn id="7" xr3:uid="{A6CF8652-9E0C-4895-8AE3-280761B8B1FA}" name="Percent_Finer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A5DC860-6B54-43AA-B376-A951AC1082F0}" name="UNC READINGS" displayName="UNC_READINGS" ref="A4:I5" totalsRowShown="0">
  <autoFilter ref="A4:I5" xr:uid="{B2D7C19D-8791-40E2-BDDE-35BC8F1B697B}"/>
  <tableColumns count="9">
    <tableColumn id="1" xr3:uid="{0571E723-E89B-4B46-AFDB-9A81B2B70A04}" name="IGNORE"/>
    <tableColumn id="2" xr3:uid="{FF659C4B-AFAD-47AE-8099-5E9E2EE8B516}" name="PointID"/>
    <tableColumn id="3" xr3:uid="{22F6FE6C-C829-4928-A039-FF3EE708E6D5}" name="Depth"/>
    <tableColumn id="4" xr3:uid="{04C96A5A-F1DE-48D5-8142-5A6880A5CE04}" name="Reading"/>
    <tableColumn id="5" xr3:uid="{E4637789-DCAD-4691-8BDA-2EE23E6FFF66}" name="Load_Reading"/>
    <tableColumn id="6" xr3:uid="{D0EB76E2-4D46-4954-8D11-82094096EACE}" name="Deflection_Reading"/>
    <tableColumn id="7" xr3:uid="{C858E3CE-5398-4860-9CEC-152D309E4700}" name="Stress"/>
    <tableColumn id="8" xr3:uid="{2F883750-D2CA-4DDB-BCA5-AAB031BB9558}" name="Stress tsf"/>
    <tableColumn id="9" xr3:uid="{CDD1C8B6-FDA0-4087-87A4-0AB19DED6736}" name="Strain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8CE27D1-75DF-4E76-AFBB-658335EBC05A}" name="UNCONF COMPR" displayName="UNCONF_COMPR" ref="A4:AA5" totalsRowShown="0">
  <autoFilter ref="A4:AA5" xr:uid="{4853613D-F6B5-4218-A43D-61D0417231F9}"/>
  <tableColumns count="27">
    <tableColumn id="1" xr3:uid="{D0686DB6-BDE9-4A4B-9054-F5C4D8F2F81D}" name="IGNORE"/>
    <tableColumn id="2" xr3:uid="{227CFD43-F0B3-4D57-B328-4690E5E059E1}" name="PointID"/>
    <tableColumn id="3" xr3:uid="{3B64343B-C0B7-4E0A-8D68-3ADFEFBAB529}" name="Depth"/>
    <tableColumn id="4" xr3:uid="{914078B0-D2AE-4DDE-998A-A415C02B1714}" name="Depth Entered"/>
    <tableColumn id="5" xr3:uid="{D5FA1333-3DEF-436D-A647-8915191ED344}" name="Strength"/>
    <tableColumn id="6" xr3:uid="{6BBBAE50-C719-456A-95FC-93831900CD39}" name="Strain_At_Failure"/>
    <tableColumn id="7" xr3:uid="{B1870C8E-1502-4E29-889D-E3EF5E94AC7D}" name="Load_Ring"/>
    <tableColumn id="8" xr3:uid="{CD291CDF-E075-4217-9276-5D4370775CB1}" name="Slope_Initial"/>
    <tableColumn id="9" xr3:uid="{4DBE67CA-CD76-4702-AD54-402B382DA542}" name="Slope_Break"/>
    <tableColumn id="10" xr3:uid="{3D684A5C-C974-4739-BDE6-BB3CFB84EF5C}" name="Slope_2ndary"/>
    <tableColumn id="11" xr3:uid="{81554459-809D-4678-B2E9-1C50E6F2F6DC}" name="Deflection_Units"/>
    <tableColumn id="12" xr3:uid="{E08EE413-9DBD-4B12-9951-49806983B654}" name="Stress_Area"/>
    <tableColumn id="13" xr3:uid="{FE72CF2B-E2E0-4210-BC22-9FEEAFA2DB96}" name="Seating_Correction"/>
    <tableColumn id="14" xr3:uid="{E68C9182-E52F-4D60-BBD0-DCD9E1C116A5}" name="Diameter"/>
    <tableColumn id="15" xr3:uid="{0956F9D0-C2DD-460E-86B9-B85DF287FA68}" name="Diameter in"/>
    <tableColumn id="16" xr3:uid="{32F4972C-54FC-4F55-B32B-0173C763395D}" name="Height"/>
    <tableColumn id="17" xr3:uid="{BAFD19B2-B20A-4E33-8795-BB9913E0F97D}" name="Height in"/>
    <tableColumn id="18" xr3:uid="{75949CE2-75BE-4F84-B06D-DE5AA09468EE}" name="Strain Rate"/>
    <tableColumn id="19" xr3:uid="{2B9A5588-0129-44BE-917A-48E3C121A3AB}" name="Visual"/>
    <tableColumn id="20" xr3:uid="{0F74F861-2AA1-4C00-9C4E-177581D46092}" name="Wet_Density"/>
    <tableColumn id="21" xr3:uid="{3A16B58A-3CA7-4BC0-BBAE-92A21F021E0C}" name="Dry_Density"/>
    <tableColumn id="22" xr3:uid="{18BC0CCB-A217-4FCD-BAE5-76318FA03F52}" name="Water_Content"/>
    <tableColumn id="23" xr3:uid="{DA6FCE68-49B0-4EC0-9ED9-7655C995E42E}" name="Wt_Spec_Tare"/>
    <tableColumn id="24" xr3:uid="{1AA24FFB-CE33-4ED5-B4AE-FE3D200538A8}" name="Wt_Tare"/>
    <tableColumn id="25" xr3:uid="{6541272C-A981-4C85-8DAD-3D9E05CE9B69}" name="WC_Wt_Wet"/>
    <tableColumn id="26" xr3:uid="{5250E351-5E56-42D3-B5A1-4D9CEABC4FDC}" name="WC_Wt_Dry"/>
    <tableColumn id="27" xr3:uid="{7BA73EE0-CAF8-4ABC-B7DA-0190CC5EEB45}" name="WC_Wt_Tar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6E1FA118-C8DA-4991-9EE0-B00A70B8D874}" name="WATER LEVELS" displayName="WATER_LEVELS" ref="A4:I5" totalsRowShown="0">
  <autoFilter ref="A4:I5" xr:uid="{0876F1B0-BAA0-4C6A-8C1B-9F95DD207112}"/>
  <tableColumns count="9">
    <tableColumn id="1" xr3:uid="{270E72B2-99D5-435C-9DAD-4B25FA9D3292}" name="IGNORE"/>
    <tableColumn id="2" xr3:uid="{077C8CBB-2ADE-40A7-9DA2-0D079BAAC300}" name="PointID"/>
    <tableColumn id="3" xr3:uid="{2EE37614-C382-4791-BBCC-56C78D2C68E7}" name="ItemKey"/>
    <tableColumn id="4" xr3:uid="{1297F8CC-2535-4F44-AC7D-5ED0F3AE71AD}" name="Date/Time"/>
    <tableColumn id="5" xr3:uid="{CE3D951A-EE62-4FCF-9EAD-F9BF6FE5F44B}" name="Hours After"/>
    <tableColumn id="6" xr3:uid="{4DEFE2EF-4349-40CB-A031-53BFC41BDD9D}" name="Days After"/>
    <tableColumn id="7" xr3:uid="{F1F326AC-EC69-44F3-AAE0-CEB856AD5AD9}" name="Depth"/>
    <tableColumn id="8" xr3:uid="{F0EC3013-33F9-4566-A6B9-FD10371E2058}" name="Show"/>
    <tableColumn id="9" xr3:uid="{0963C5DF-D793-4A82-B700-41768F0E7A62}" name="Notes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BC0CCCE-DCF2-4F6D-ACEA-D91DBEAE5A30}" name="WC DENSITY" displayName="WC_DENSITY" ref="A4:M5" totalsRowShown="0">
  <autoFilter ref="A4:M5" xr:uid="{D1F0DE5F-6599-45B9-B092-C47908B884D5}"/>
  <tableColumns count="13">
    <tableColumn id="1" xr3:uid="{7CAA3AFC-91D2-41B2-8F9E-71D19CF90996}" name="IGNORE"/>
    <tableColumn id="2" xr3:uid="{988132C7-FB69-46E4-934A-3B8DA78E15B9}" name="PointID"/>
    <tableColumn id="3" xr3:uid="{71DFD7A3-69E2-4824-A740-2C35B28477B9}" name="Depth"/>
    <tableColumn id="4" xr3:uid="{3A509D43-C2BB-4131-9A27-4E5804C805AC}" name="WC_Wt_Wet"/>
    <tableColumn id="5" xr3:uid="{45516AF8-8A80-44C3-BD52-59424D7704B2}" name="WC_Wt_Dry"/>
    <tableColumn id="6" xr3:uid="{F8C3F84B-D606-460B-8CE4-429103D4F350}" name="WC_Wt_Tare"/>
    <tableColumn id="7" xr3:uid="{12DF464A-5F92-4205-80CA-C1C2B9A98B63}" name="Water_Content"/>
    <tableColumn id="8" xr3:uid="{0056C106-1EAF-4740-9651-5436A2B9AB2B}" name="Diameter"/>
    <tableColumn id="9" xr3:uid="{41B2DBA6-2682-4C01-BE44-B76344143B9C}" name="Height"/>
    <tableColumn id="10" xr3:uid="{52B01A98-82A6-4F35-A261-CEBA56AE7507}" name="Wt_Spec_Tare"/>
    <tableColumn id="11" xr3:uid="{4508C4F7-78BA-4C75-A998-3D3D13419422}" name="Wt_Tare"/>
    <tableColumn id="12" xr3:uid="{66C585A7-554E-4E23-9DE2-402CACA17E4A}" name="Wet_Density"/>
    <tableColumn id="13" xr3:uid="{15FDB6E8-31E4-4D6F-A913-FD4986C6BCDF}" name="Dry_Density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95BBEB8-10D8-48CE-8C4E-E29F25748BCE}" name="WELL CONSTRUCTION" displayName="WELL_CONSTRUCTION" ref="A4:E5" totalsRowShown="0">
  <autoFilter ref="A4:E5" xr:uid="{F68BC145-D199-47EA-A5BC-88E74BEA948D}"/>
  <tableColumns count="5">
    <tableColumn id="1" xr3:uid="{88BB6F64-0115-4176-9B27-CC27EEBCD09E}" name="IGNORE"/>
    <tableColumn id="2" xr3:uid="{9A7701FD-A3B2-47E7-9F6D-786C65A23786}" name="PointID"/>
    <tableColumn id="3" xr3:uid="{DF35E5D5-4CB6-4323-AABF-74D35E781045}" name="Depth"/>
    <tableColumn id="4" xr3:uid="{28DBC754-CA70-4D3C-B87F-468C103BF7BC}" name="Bottom"/>
    <tableColumn id="5" xr3:uid="{C09F1F43-4D17-4731-BA0B-44D178765FC6}" name="Graphic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A5FDAC75-8C69-4EDD-8C6C-89B0E2A19E2B}" name="WELL DETAILS" displayName="WELL_DETAILS" ref="A4:C5" totalsRowShown="0">
  <autoFilter ref="A4:C5" xr:uid="{20715E76-4EA0-4AC1-BD6D-C1302C446E94}"/>
  <tableColumns count="3">
    <tableColumn id="1" xr3:uid="{DF76AB91-04BC-414E-9C42-9E4AC44C8FAC}" name="IGNORE"/>
    <tableColumn id="2" xr3:uid="{50B96797-AFAC-4074-A430-70D3D19575F7}" name="PointID"/>
    <tableColumn id="3" xr3:uid="{97256CE3-CA58-4CA2-B946-5929397DF8A5}" name="Installa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E44F4-F4B6-43F5-8E98-E9DB286EFF5E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55DC-D034-4EA2-A195-65BF27420170}">
  <sheetPr codeName="Sheet2"/>
  <dimension ref="A1:F4"/>
  <sheetViews>
    <sheetView workbookViewId="0">
      <selection activeCell="A6" sqref="A6:XFD11"/>
    </sheetView>
  </sheetViews>
  <sheetFormatPr defaultRowHeight="15" x14ac:dyDescent="0.25"/>
  <cols>
    <col min="1" max="1" width="12" customWidth="1"/>
    <col min="2" max="2" width="9.7109375" customWidth="1"/>
    <col min="3" max="3" width="10.5703125" customWidth="1"/>
    <col min="5" max="5" width="10.85546875" customWidth="1"/>
    <col min="6" max="6" width="10.28515625" customWidth="1"/>
  </cols>
  <sheetData>
    <row r="1" spans="1:6" x14ac:dyDescent="0.25">
      <c r="A1" t="s">
        <v>298</v>
      </c>
    </row>
    <row r="2" spans="1:6" x14ac:dyDescent="0.25">
      <c r="A2" t="s">
        <v>160</v>
      </c>
    </row>
    <row r="3" spans="1:6" x14ac:dyDescent="0.25">
      <c r="A3" t="s">
        <v>299</v>
      </c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1:6" x14ac:dyDescent="0.25">
      <c r="A4" t="s">
        <v>300</v>
      </c>
      <c r="B4" t="s">
        <v>0</v>
      </c>
      <c r="C4" t="s">
        <v>1</v>
      </c>
      <c r="D4" t="s">
        <v>2</v>
      </c>
      <c r="E4" t="s">
        <v>3</v>
      </c>
      <c r="F4" t="s"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D4374-7DF4-49EB-A4B9-5D8A8C56D781}">
  <sheetPr codeName="Sheet3"/>
  <dimension ref="A1:K4"/>
  <sheetViews>
    <sheetView workbookViewId="0">
      <selection activeCell="A6" sqref="A6:XFD14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4.85546875" customWidth="1"/>
    <col min="6" max="6" width="14" customWidth="1"/>
    <col min="7" max="7" width="14.85546875" customWidth="1"/>
    <col min="8" max="8" width="16.7109375" customWidth="1"/>
    <col min="9" max="9" width="16.85546875" customWidth="1"/>
    <col min="10" max="10" width="18.28515625" customWidth="1"/>
    <col min="11" max="11" width="17.42578125" customWidth="1"/>
  </cols>
  <sheetData>
    <row r="1" spans="1:11" x14ac:dyDescent="0.25">
      <c r="A1" t="s">
        <v>298</v>
      </c>
    </row>
    <row r="2" spans="1:11" x14ac:dyDescent="0.25">
      <c r="A2" t="s">
        <v>160</v>
      </c>
    </row>
    <row r="3" spans="1:11" x14ac:dyDescent="0.25">
      <c r="A3" t="s">
        <v>299</v>
      </c>
      <c r="B3" t="s">
        <v>0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</row>
    <row r="4" spans="1:11" x14ac:dyDescent="0.25">
      <c r="A4" t="s">
        <v>300</v>
      </c>
      <c r="B4" t="s">
        <v>0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DEF15-FDEF-4143-9381-CBAEF32EE65C}">
  <sheetPr codeName="Sheet4"/>
  <dimension ref="A1:N5"/>
  <sheetViews>
    <sheetView workbookViewId="0">
      <selection activeCell="A6" sqref="A6:XFD11"/>
    </sheetView>
  </sheetViews>
  <sheetFormatPr defaultRowHeight="15" x14ac:dyDescent="0.25"/>
  <cols>
    <col min="1" max="1" width="12" customWidth="1"/>
    <col min="2" max="2" width="9.7109375" customWidth="1"/>
    <col min="4" max="4" width="14" customWidth="1"/>
    <col min="5" max="5" width="14.28515625" customWidth="1"/>
    <col min="6" max="6" width="9.85546875" customWidth="1"/>
    <col min="7" max="7" width="15.28515625" customWidth="1"/>
    <col min="8" max="8" width="10.28515625" customWidth="1"/>
    <col min="9" max="9" width="13.42578125" customWidth="1"/>
    <col min="10" max="10" width="12.5703125" customWidth="1"/>
    <col min="11" max="11" width="21.7109375" customWidth="1"/>
    <col min="12" max="12" width="19.5703125" customWidth="1"/>
  </cols>
  <sheetData>
    <row r="1" spans="1:14" x14ac:dyDescent="0.25">
      <c r="A1" t="s">
        <v>298</v>
      </c>
      <c r="C1" s="3">
        <v>22</v>
      </c>
    </row>
    <row r="2" spans="1:14" x14ac:dyDescent="0.25">
      <c r="A2" t="s">
        <v>160</v>
      </c>
    </row>
    <row r="3" spans="1:14" x14ac:dyDescent="0.25">
      <c r="A3" t="s">
        <v>299</v>
      </c>
      <c r="B3" t="s">
        <v>0</v>
      </c>
      <c r="C3" t="s">
        <v>5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311</v>
      </c>
      <c r="N3" t="s">
        <v>307</v>
      </c>
    </row>
    <row r="4" spans="1:14" x14ac:dyDescent="0.25">
      <c r="A4" t="s">
        <v>300</v>
      </c>
      <c r="B4" t="s">
        <v>0</v>
      </c>
      <c r="C4" t="s">
        <v>5</v>
      </c>
      <c r="D4" t="s">
        <v>14</v>
      </c>
      <c r="E4" t="s">
        <v>15</v>
      </c>
      <c r="F4" t="s">
        <v>16</v>
      </c>
      <c r="G4" t="s">
        <v>17</v>
      </c>
      <c r="H4" t="s">
        <v>18</v>
      </c>
      <c r="I4" t="s">
        <v>19</v>
      </c>
      <c r="J4" t="s">
        <v>20</v>
      </c>
      <c r="K4" t="s">
        <v>21</v>
      </c>
      <c r="L4" t="s">
        <v>22</v>
      </c>
      <c r="M4" t="s">
        <v>311</v>
      </c>
      <c r="N4" t="s">
        <v>307</v>
      </c>
    </row>
    <row r="5" spans="1:14" x14ac:dyDescent="0.25">
      <c r="M5" t="str">
        <f>ATTERBERG[[#This Row],[PointID]]&amp;ATTERBERG[[#This Row],[Depth]]</f>
        <v/>
      </c>
      <c r="N5">
        <f>VLOOKUP(ATTERBERG[[#This Row],[combine]],LAB_SPECIMEN[[#All],[combine]:[base2use]],2,FALSE)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D980A-6DFA-4A44-97E4-092DF1A2A501}">
  <sheetPr codeName="Sheet5"/>
  <dimension ref="A1:K4"/>
  <sheetViews>
    <sheetView workbookViewId="0">
      <selection activeCell="A6" sqref="A6:XFD81"/>
    </sheetView>
  </sheetViews>
  <sheetFormatPr defaultRowHeight="15" x14ac:dyDescent="0.25"/>
  <cols>
    <col min="1" max="1" width="12" customWidth="1"/>
    <col min="2" max="2" width="9.7109375" customWidth="1"/>
    <col min="4" max="4" width="30.140625" customWidth="1"/>
    <col min="5" max="5" width="23.7109375" customWidth="1"/>
    <col min="6" max="6" width="28.42578125" customWidth="1"/>
    <col min="7" max="7" width="26.5703125" customWidth="1"/>
    <col min="9" max="9" width="11" customWidth="1"/>
    <col min="10" max="10" width="11.28515625" customWidth="1"/>
    <col min="11" max="11" width="11" customWidth="1"/>
  </cols>
  <sheetData>
    <row r="1" spans="1:11" x14ac:dyDescent="0.25">
      <c r="A1" t="s">
        <v>298</v>
      </c>
    </row>
    <row r="2" spans="1:11" x14ac:dyDescent="0.25">
      <c r="A2" t="s">
        <v>160</v>
      </c>
    </row>
    <row r="3" spans="1:11" x14ac:dyDescent="0.25">
      <c r="A3" t="s">
        <v>299</v>
      </c>
      <c r="B3" t="s">
        <v>0</v>
      </c>
      <c r="C3" t="s">
        <v>5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  <c r="J3" t="s">
        <v>29</v>
      </c>
      <c r="K3" t="s">
        <v>30</v>
      </c>
    </row>
    <row r="4" spans="1:11" x14ac:dyDescent="0.25">
      <c r="A4" t="s">
        <v>300</v>
      </c>
      <c r="B4" t="s">
        <v>0</v>
      </c>
      <c r="C4" t="s">
        <v>5</v>
      </c>
      <c r="D4" t="s">
        <v>23</v>
      </c>
      <c r="E4" t="s">
        <v>24</v>
      </c>
      <c r="F4" t="s">
        <v>25</v>
      </c>
      <c r="G4" t="s">
        <v>26</v>
      </c>
      <c r="H4" t="s">
        <v>27</v>
      </c>
      <c r="I4" t="s">
        <v>28</v>
      </c>
      <c r="J4" t="s">
        <v>29</v>
      </c>
      <c r="K4" t="s">
        <v>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36564-F059-47C6-8C98-DA8335FD688F}">
  <sheetPr codeName="Sheet6"/>
  <dimension ref="A1:K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5.85546875" customWidth="1"/>
    <col min="6" max="6" width="14.85546875" customWidth="1"/>
    <col min="7" max="7" width="14" customWidth="1"/>
    <col min="8" max="8" width="14.85546875" customWidth="1"/>
    <col min="9" max="9" width="16.85546875" customWidth="1"/>
    <col min="10" max="10" width="14.7109375" customWidth="1"/>
    <col min="11" max="11" width="13.85546875" customWidth="1"/>
  </cols>
  <sheetData>
    <row r="1" spans="1:11" x14ac:dyDescent="0.25">
      <c r="A1" t="s">
        <v>298</v>
      </c>
    </row>
    <row r="2" spans="1:11" x14ac:dyDescent="0.25">
      <c r="A2" t="s">
        <v>160</v>
      </c>
    </row>
    <row r="3" spans="1:11" x14ac:dyDescent="0.25">
      <c r="A3" t="s">
        <v>299</v>
      </c>
      <c r="B3" t="s">
        <v>0</v>
      </c>
      <c r="C3" t="s">
        <v>5</v>
      </c>
      <c r="D3" t="s">
        <v>6</v>
      </c>
      <c r="E3" t="s">
        <v>31</v>
      </c>
      <c r="F3" t="s">
        <v>7</v>
      </c>
      <c r="G3" t="s">
        <v>8</v>
      </c>
      <c r="H3" t="s">
        <v>9</v>
      </c>
      <c r="I3" t="s">
        <v>11</v>
      </c>
      <c r="J3" t="s">
        <v>32</v>
      </c>
      <c r="K3" t="s">
        <v>33</v>
      </c>
    </row>
    <row r="4" spans="1:11" x14ac:dyDescent="0.25">
      <c r="A4" t="s">
        <v>300</v>
      </c>
      <c r="B4" t="s">
        <v>0</v>
      </c>
      <c r="C4" t="s">
        <v>5</v>
      </c>
      <c r="D4" t="s">
        <v>6</v>
      </c>
      <c r="E4" t="s">
        <v>31</v>
      </c>
      <c r="F4" t="s">
        <v>7</v>
      </c>
      <c r="G4" t="s">
        <v>8</v>
      </c>
      <c r="H4" t="s">
        <v>9</v>
      </c>
      <c r="I4" t="s">
        <v>11</v>
      </c>
      <c r="J4" t="s">
        <v>32</v>
      </c>
      <c r="K4" t="s">
        <v>33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C699B-83C0-406F-B78A-E250B1138DC7}">
  <sheetPr codeName="Sheet7"/>
  <dimension ref="A1:J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8.7109375" customWidth="1"/>
    <col min="5" max="5" width="23.7109375" customWidth="1"/>
    <col min="6" max="6" width="10.28515625" customWidth="1"/>
    <col min="7" max="8" width="15.85546875" customWidth="1"/>
    <col min="9" max="10" width="15.42578125" customWidth="1"/>
  </cols>
  <sheetData>
    <row r="1" spans="1:10" x14ac:dyDescent="0.25">
      <c r="A1" t="s">
        <v>298</v>
      </c>
    </row>
    <row r="2" spans="1:10" x14ac:dyDescent="0.25">
      <c r="A2" t="s">
        <v>160</v>
      </c>
    </row>
    <row r="3" spans="1:10" x14ac:dyDescent="0.25">
      <c r="A3" t="s">
        <v>299</v>
      </c>
      <c r="B3" t="s">
        <v>0</v>
      </c>
      <c r="C3" t="s">
        <v>5</v>
      </c>
      <c r="D3" t="s">
        <v>34</v>
      </c>
      <c r="E3" t="s">
        <v>35</v>
      </c>
      <c r="F3" t="s">
        <v>4</v>
      </c>
      <c r="G3" t="s">
        <v>36</v>
      </c>
      <c r="H3" t="s">
        <v>37</v>
      </c>
      <c r="I3" t="s">
        <v>38</v>
      </c>
      <c r="J3" t="s">
        <v>39</v>
      </c>
    </row>
    <row r="4" spans="1:10" x14ac:dyDescent="0.25">
      <c r="A4" t="s">
        <v>300</v>
      </c>
      <c r="B4" t="s">
        <v>0</v>
      </c>
      <c r="C4" t="s">
        <v>5</v>
      </c>
      <c r="D4" t="s">
        <v>34</v>
      </c>
      <c r="E4" t="s">
        <v>35</v>
      </c>
      <c r="F4" t="s">
        <v>4</v>
      </c>
      <c r="G4" t="s">
        <v>36</v>
      </c>
      <c r="H4" t="s">
        <v>37</v>
      </c>
      <c r="I4" t="s">
        <v>38</v>
      </c>
      <c r="J4" t="s">
        <v>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31E8-8CAB-4331-A23C-78C2F40A61C7}">
  <sheetPr codeName="Sheet8"/>
  <dimension ref="A1:Q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6" max="6" width="16.140625" customWidth="1"/>
    <col min="7" max="7" width="25.28515625" customWidth="1"/>
    <col min="9" max="9" width="25.140625" customWidth="1"/>
    <col min="14" max="14" width="11.5703125" customWidth="1"/>
    <col min="15" max="15" width="18.7109375" customWidth="1"/>
    <col min="17" max="17" width="14.140625" customWidth="1"/>
  </cols>
  <sheetData>
    <row r="1" spans="1:17" x14ac:dyDescent="0.25">
      <c r="A1" t="s">
        <v>298</v>
      </c>
    </row>
    <row r="2" spans="1:17" x14ac:dyDescent="0.25">
      <c r="A2" t="s">
        <v>160</v>
      </c>
    </row>
    <row r="3" spans="1:17" x14ac:dyDescent="0.25">
      <c r="A3" t="s">
        <v>299</v>
      </c>
      <c r="B3" t="s">
        <v>0</v>
      </c>
      <c r="C3" t="s">
        <v>5</v>
      </c>
      <c r="D3" t="s">
        <v>6</v>
      </c>
      <c r="E3" t="s">
        <v>40</v>
      </c>
      <c r="F3" t="s">
        <v>41</v>
      </c>
      <c r="G3" t="s">
        <v>42</v>
      </c>
      <c r="H3" t="s">
        <v>43</v>
      </c>
      <c r="I3" t="s">
        <v>44</v>
      </c>
      <c r="J3" t="s">
        <v>45</v>
      </c>
      <c r="K3" t="s">
        <v>46</v>
      </c>
      <c r="L3" t="s">
        <v>47</v>
      </c>
      <c r="M3" t="s">
        <v>48</v>
      </c>
      <c r="N3" t="s">
        <v>49</v>
      </c>
      <c r="O3" t="s">
        <v>50</v>
      </c>
      <c r="P3" t="s">
        <v>51</v>
      </c>
      <c r="Q3" t="s">
        <v>52</v>
      </c>
    </row>
    <row r="4" spans="1:17" x14ac:dyDescent="0.25">
      <c r="A4" t="s">
        <v>300</v>
      </c>
      <c r="B4" t="s">
        <v>0</v>
      </c>
      <c r="C4" t="s">
        <v>5</v>
      </c>
      <c r="D4" t="s">
        <v>6</v>
      </c>
      <c r="E4" t="s">
        <v>40</v>
      </c>
      <c r="F4" t="s">
        <v>41</v>
      </c>
      <c r="G4" t="s">
        <v>42</v>
      </c>
      <c r="H4" t="s">
        <v>43</v>
      </c>
      <c r="I4" t="s">
        <v>44</v>
      </c>
      <c r="J4" t="s">
        <v>45</v>
      </c>
      <c r="K4" t="s">
        <v>46</v>
      </c>
      <c r="L4" t="s">
        <v>47</v>
      </c>
      <c r="M4" t="s">
        <v>48</v>
      </c>
      <c r="N4" t="s">
        <v>49</v>
      </c>
      <c r="O4" t="s">
        <v>50</v>
      </c>
      <c r="P4" t="s">
        <v>51</v>
      </c>
      <c r="Q4" t="s">
        <v>52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C6C7-94AB-4B2F-9647-E1C736FFC995}">
  <sheetPr codeName="Sheet9"/>
  <dimension ref="A1:AE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6" customWidth="1"/>
    <col min="5" max="5" width="17.140625" customWidth="1"/>
    <col min="6" max="6" width="18.140625" customWidth="1"/>
    <col min="8" max="8" width="11.42578125" customWidth="1"/>
    <col min="9" max="9" width="13.5703125" customWidth="1"/>
    <col min="11" max="11" width="11.140625" customWidth="1"/>
    <col min="12" max="12" width="14.7109375" customWidth="1"/>
    <col min="13" max="13" width="13.85546875" customWidth="1"/>
    <col min="14" max="14" width="16.85546875" customWidth="1"/>
    <col min="15" max="15" width="15.85546875" customWidth="1"/>
    <col min="16" max="16" width="10.7109375" customWidth="1"/>
    <col min="17" max="17" width="14.85546875" customWidth="1"/>
    <col min="18" max="18" width="14" customWidth="1"/>
    <col min="19" max="19" width="14.85546875" customWidth="1"/>
    <col min="20" max="20" width="19.42578125" customWidth="1"/>
    <col min="21" max="21" width="22.42578125" customWidth="1"/>
    <col min="22" max="22" width="12.85546875" customWidth="1"/>
    <col min="23" max="23" width="16.85546875" customWidth="1"/>
    <col min="24" max="24" width="19.140625" customWidth="1"/>
    <col min="27" max="27" width="26.28515625" customWidth="1"/>
    <col min="30" max="31" width="14.42578125" customWidth="1"/>
  </cols>
  <sheetData>
    <row r="1" spans="1:31" x14ac:dyDescent="0.25">
      <c r="A1" t="s">
        <v>298</v>
      </c>
    </row>
    <row r="2" spans="1:31" x14ac:dyDescent="0.25">
      <c r="A2" t="s">
        <v>160</v>
      </c>
    </row>
    <row r="3" spans="1:31" x14ac:dyDescent="0.25">
      <c r="A3" t="s">
        <v>299</v>
      </c>
      <c r="B3" t="s">
        <v>0</v>
      </c>
      <c r="C3" t="s">
        <v>5</v>
      </c>
      <c r="D3" t="s">
        <v>53</v>
      </c>
      <c r="E3" t="s">
        <v>54</v>
      </c>
      <c r="F3" t="s">
        <v>55</v>
      </c>
      <c r="G3" t="s">
        <v>56</v>
      </c>
      <c r="H3" t="s">
        <v>57</v>
      </c>
      <c r="I3" t="s">
        <v>58</v>
      </c>
      <c r="J3" t="s">
        <v>59</v>
      </c>
      <c r="K3" t="s">
        <v>60</v>
      </c>
      <c r="L3" t="s">
        <v>32</v>
      </c>
      <c r="M3" t="s">
        <v>33</v>
      </c>
      <c r="N3" t="s">
        <v>11</v>
      </c>
      <c r="O3" t="s">
        <v>61</v>
      </c>
      <c r="P3" t="s">
        <v>62</v>
      </c>
      <c r="Q3" t="s">
        <v>7</v>
      </c>
      <c r="R3" t="s">
        <v>8</v>
      </c>
      <c r="S3" t="s">
        <v>9</v>
      </c>
      <c r="T3" t="s">
        <v>63</v>
      </c>
      <c r="U3" t="s">
        <v>64</v>
      </c>
      <c r="V3" t="s">
        <v>65</v>
      </c>
      <c r="W3" t="s">
        <v>66</v>
      </c>
      <c r="X3" t="s">
        <v>67</v>
      </c>
      <c r="Y3" t="s">
        <v>68</v>
      </c>
      <c r="Z3" t="s">
        <v>69</v>
      </c>
      <c r="AA3" t="s">
        <v>70</v>
      </c>
      <c r="AB3" t="s">
        <v>71</v>
      </c>
      <c r="AC3" t="s">
        <v>72</v>
      </c>
      <c r="AD3" t="s">
        <v>73</v>
      </c>
      <c r="AE3" t="s">
        <v>74</v>
      </c>
    </row>
    <row r="4" spans="1:31" x14ac:dyDescent="0.25">
      <c r="A4" t="s">
        <v>300</v>
      </c>
      <c r="B4" t="s">
        <v>0</v>
      </c>
      <c r="C4" t="s">
        <v>5</v>
      </c>
      <c r="D4" t="s">
        <v>53</v>
      </c>
      <c r="E4" t="s">
        <v>54</v>
      </c>
      <c r="F4" t="s">
        <v>55</v>
      </c>
      <c r="G4" t="s">
        <v>56</v>
      </c>
      <c r="H4" t="s">
        <v>57</v>
      </c>
      <c r="I4" t="s">
        <v>58</v>
      </c>
      <c r="J4" t="s">
        <v>59</v>
      </c>
      <c r="K4" t="s">
        <v>60</v>
      </c>
      <c r="L4" t="s">
        <v>32</v>
      </c>
      <c r="M4" t="s">
        <v>33</v>
      </c>
      <c r="N4" t="s">
        <v>11</v>
      </c>
      <c r="O4" t="s">
        <v>61</v>
      </c>
      <c r="P4" t="s">
        <v>62</v>
      </c>
      <c r="Q4" t="s">
        <v>7</v>
      </c>
      <c r="R4" t="s">
        <v>8</v>
      </c>
      <c r="S4" t="s">
        <v>9</v>
      </c>
      <c r="T4" t="s">
        <v>63</v>
      </c>
      <c r="U4" t="s">
        <v>64</v>
      </c>
      <c r="V4" t="s">
        <v>65</v>
      </c>
      <c r="W4" t="s">
        <v>66</v>
      </c>
      <c r="X4" t="s">
        <v>67</v>
      </c>
      <c r="Y4" t="s">
        <v>68</v>
      </c>
      <c r="Z4" t="s">
        <v>69</v>
      </c>
      <c r="AA4" t="s">
        <v>70</v>
      </c>
      <c r="AB4" t="s">
        <v>71</v>
      </c>
      <c r="AC4" t="s">
        <v>72</v>
      </c>
      <c r="AD4" t="s">
        <v>73</v>
      </c>
      <c r="AE4" t="s">
        <v>74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4618-C351-4B82-B240-519FCFB88CFC}">
  <sheetPr codeName="Sheet10"/>
  <dimension ref="A1:AP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5" width="17" customWidth="1"/>
    <col min="6" max="6" width="12.140625" customWidth="1"/>
    <col min="7" max="7" width="10" customWidth="1"/>
    <col min="8" max="8" width="16" customWidth="1"/>
    <col min="9" max="9" width="20.5703125" customWidth="1"/>
    <col min="10" max="10" width="20.42578125" customWidth="1"/>
    <col min="11" max="11" width="25" customWidth="1"/>
    <col min="12" max="12" width="14.7109375" customWidth="1"/>
    <col min="13" max="13" width="13.85546875" customWidth="1"/>
    <col min="14" max="14" width="16.85546875" customWidth="1"/>
    <col min="15" max="15" width="9.5703125" customWidth="1"/>
    <col min="17" max="17" width="15" customWidth="1"/>
    <col min="18" max="18" width="14.5703125" customWidth="1"/>
    <col min="19" max="21" width="15.140625" customWidth="1"/>
    <col min="22" max="24" width="15" customWidth="1"/>
    <col min="25" max="27" width="11.140625" customWidth="1"/>
    <col min="28" max="30" width="12.28515625" customWidth="1"/>
    <col min="31" max="33" width="14.85546875" customWidth="1"/>
    <col min="34" max="39" width="14.42578125" customWidth="1"/>
    <col min="40" max="42" width="14" customWidth="1"/>
  </cols>
  <sheetData>
    <row r="1" spans="1:42" x14ac:dyDescent="0.25">
      <c r="A1" t="s">
        <v>298</v>
      </c>
    </row>
    <row r="2" spans="1:42" x14ac:dyDescent="0.25">
      <c r="A2" t="s">
        <v>160</v>
      </c>
    </row>
    <row r="3" spans="1:42" x14ac:dyDescent="0.25">
      <c r="A3" t="s">
        <v>299</v>
      </c>
      <c r="B3" t="s">
        <v>0</v>
      </c>
      <c r="C3" t="s">
        <v>5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32</v>
      </c>
      <c r="M3" t="s">
        <v>33</v>
      </c>
      <c r="N3" t="s">
        <v>11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  <c r="Z3" t="s">
        <v>94</v>
      </c>
      <c r="AA3" t="s">
        <v>95</v>
      </c>
      <c r="AB3" t="s">
        <v>96</v>
      </c>
      <c r="AC3" t="s">
        <v>97</v>
      </c>
      <c r="AD3" t="s">
        <v>98</v>
      </c>
      <c r="AE3" t="s">
        <v>99</v>
      </c>
      <c r="AF3" t="s">
        <v>100</v>
      </c>
      <c r="AG3" t="s">
        <v>101</v>
      </c>
      <c r="AH3" t="s">
        <v>102</v>
      </c>
      <c r="AI3" t="s">
        <v>103</v>
      </c>
      <c r="AJ3" t="s">
        <v>104</v>
      </c>
      <c r="AK3" t="s">
        <v>105</v>
      </c>
      <c r="AL3" t="s">
        <v>106</v>
      </c>
      <c r="AM3" t="s">
        <v>107</v>
      </c>
      <c r="AN3" t="s">
        <v>108</v>
      </c>
      <c r="AO3" t="s">
        <v>109</v>
      </c>
      <c r="AP3" t="s">
        <v>110</v>
      </c>
    </row>
    <row r="4" spans="1:42" x14ac:dyDescent="0.25">
      <c r="A4" t="s">
        <v>300</v>
      </c>
      <c r="B4" t="s">
        <v>0</v>
      </c>
      <c r="C4" t="s">
        <v>5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81</v>
      </c>
      <c r="K4" t="s">
        <v>82</v>
      </c>
      <c r="L4" t="s">
        <v>32</v>
      </c>
      <c r="M4" t="s">
        <v>33</v>
      </c>
      <c r="N4" t="s">
        <v>11</v>
      </c>
      <c r="O4" t="s">
        <v>83</v>
      </c>
      <c r="P4" t="s">
        <v>84</v>
      </c>
      <c r="Q4" t="s">
        <v>85</v>
      </c>
      <c r="R4" t="s">
        <v>86</v>
      </c>
      <c r="S4" t="s">
        <v>87</v>
      </c>
      <c r="T4" t="s">
        <v>88</v>
      </c>
      <c r="U4" t="s">
        <v>89</v>
      </c>
      <c r="V4" t="s">
        <v>90</v>
      </c>
      <c r="W4" t="s">
        <v>91</v>
      </c>
      <c r="X4" t="s">
        <v>92</v>
      </c>
      <c r="Y4" t="s">
        <v>93</v>
      </c>
      <c r="Z4" t="s">
        <v>94</v>
      </c>
      <c r="AA4" t="s">
        <v>95</v>
      </c>
      <c r="AB4" t="s">
        <v>96</v>
      </c>
      <c r="AC4" t="s">
        <v>97</v>
      </c>
      <c r="AD4" t="s">
        <v>98</v>
      </c>
      <c r="AE4" t="s">
        <v>99</v>
      </c>
      <c r="AF4" t="s">
        <v>100</v>
      </c>
      <c r="AG4" t="s">
        <v>101</v>
      </c>
      <c r="AH4" t="s">
        <v>102</v>
      </c>
      <c r="AI4" t="s">
        <v>103</v>
      </c>
      <c r="AJ4" t="s">
        <v>104</v>
      </c>
      <c r="AK4" t="s">
        <v>105</v>
      </c>
      <c r="AL4" t="s">
        <v>106</v>
      </c>
      <c r="AM4" t="s">
        <v>107</v>
      </c>
      <c r="AN4" t="s">
        <v>108</v>
      </c>
      <c r="AO4" t="s">
        <v>109</v>
      </c>
      <c r="AP4" t="s">
        <v>110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9B6C6-7876-401F-A075-27035C4DB249}">
  <sheetPr codeName="Sheet11"/>
  <dimension ref="A1:B4"/>
  <sheetViews>
    <sheetView workbookViewId="0">
      <selection activeCell="A6" sqref="A6:XFD10"/>
    </sheetView>
  </sheetViews>
  <sheetFormatPr defaultRowHeight="15" x14ac:dyDescent="0.25"/>
  <cols>
    <col min="1" max="1" width="12" customWidth="1"/>
    <col min="2" max="2" width="10.5703125" customWidth="1"/>
  </cols>
  <sheetData>
    <row r="1" spans="1:2" x14ac:dyDescent="0.25">
      <c r="A1" t="s">
        <v>298</v>
      </c>
    </row>
    <row r="2" spans="1:2" x14ac:dyDescent="0.25">
      <c r="A2" t="s">
        <v>160</v>
      </c>
    </row>
    <row r="3" spans="1:2" x14ac:dyDescent="0.25">
      <c r="A3" t="s">
        <v>299</v>
      </c>
      <c r="B3" t="s">
        <v>1</v>
      </c>
    </row>
    <row r="4" spans="1:2" x14ac:dyDescent="0.25">
      <c r="A4" t="s">
        <v>300</v>
      </c>
      <c r="B4" t="s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238E-F177-4AA7-9A6D-046D35D3B38F}">
  <sheetPr codeName="Sheet12"/>
  <dimension ref="A1:B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10.5703125" customWidth="1"/>
  </cols>
  <sheetData>
    <row r="1" spans="1:2" x14ac:dyDescent="0.25">
      <c r="A1" t="s">
        <v>298</v>
      </c>
    </row>
    <row r="2" spans="1:2" x14ac:dyDescent="0.25">
      <c r="A2" t="s">
        <v>160</v>
      </c>
    </row>
    <row r="3" spans="1:2" x14ac:dyDescent="0.25">
      <c r="A3" t="s">
        <v>299</v>
      </c>
      <c r="B3" t="s">
        <v>1</v>
      </c>
    </row>
    <row r="4" spans="1:2" x14ac:dyDescent="0.25">
      <c r="A4" t="s">
        <v>300</v>
      </c>
      <c r="B4" t="s">
        <v>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943F-6908-4499-BCB8-335101291EFB}">
  <sheetPr codeName="Sheet13"/>
  <dimension ref="A1:C4"/>
  <sheetViews>
    <sheetView workbookViewId="0">
      <selection activeCell="A6" sqref="A6:XFD11"/>
    </sheetView>
  </sheetViews>
  <sheetFormatPr defaultRowHeight="15" x14ac:dyDescent="0.25"/>
  <cols>
    <col min="1" max="1" width="12" customWidth="1"/>
    <col min="2" max="2" width="9.7109375" customWidth="1"/>
    <col min="3" max="3" width="13.28515625" customWidth="1"/>
  </cols>
  <sheetData>
    <row r="1" spans="1:3" x14ac:dyDescent="0.25">
      <c r="A1" t="s">
        <v>298</v>
      </c>
    </row>
    <row r="2" spans="1:3" x14ac:dyDescent="0.25">
      <c r="A2" t="s">
        <v>160</v>
      </c>
    </row>
    <row r="3" spans="1:3" x14ac:dyDescent="0.25">
      <c r="A3" t="s">
        <v>299</v>
      </c>
      <c r="B3" t="s">
        <v>0</v>
      </c>
      <c r="C3" t="s">
        <v>111</v>
      </c>
    </row>
    <row r="4" spans="1:3" x14ac:dyDescent="0.25">
      <c r="A4" t="s">
        <v>300</v>
      </c>
      <c r="B4" t="s">
        <v>0</v>
      </c>
      <c r="C4" t="s">
        <v>111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16D7-0EFE-405A-ACFA-A8B2BEB72E38}">
  <sheetPr codeName="Sheet14"/>
  <dimension ref="A1:P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5.5703125" customWidth="1"/>
    <col min="6" max="6" width="18.42578125" customWidth="1"/>
    <col min="7" max="7" width="17.5703125" customWidth="1"/>
    <col min="8" max="8" width="14.7109375" customWidth="1"/>
    <col min="9" max="9" width="13.85546875" customWidth="1"/>
    <col min="10" max="10" width="16.85546875" customWidth="1"/>
    <col min="11" max="11" width="15.85546875" customWidth="1"/>
    <col min="12" max="12" width="10.7109375" customWidth="1"/>
    <col min="13" max="13" width="14.85546875" customWidth="1"/>
    <col min="14" max="14" width="14" customWidth="1"/>
    <col min="15" max="15" width="14.85546875" customWidth="1"/>
    <col min="16" max="16" width="19.28515625" customWidth="1"/>
  </cols>
  <sheetData>
    <row r="1" spans="1:16" x14ac:dyDescent="0.25">
      <c r="A1" t="s">
        <v>298</v>
      </c>
    </row>
    <row r="2" spans="1:16" x14ac:dyDescent="0.25">
      <c r="A2" t="s">
        <v>160</v>
      </c>
    </row>
    <row r="3" spans="1:16" x14ac:dyDescent="0.25">
      <c r="A3" t="s">
        <v>299</v>
      </c>
      <c r="B3" t="s">
        <v>0</v>
      </c>
      <c r="C3" t="s">
        <v>5</v>
      </c>
      <c r="D3" t="s">
        <v>6</v>
      </c>
      <c r="E3" t="s">
        <v>112</v>
      </c>
      <c r="F3" t="s">
        <v>113</v>
      </c>
      <c r="G3" t="s">
        <v>114</v>
      </c>
      <c r="H3" t="s">
        <v>32</v>
      </c>
      <c r="I3" t="s">
        <v>33</v>
      </c>
      <c r="J3" t="s">
        <v>11</v>
      </c>
      <c r="K3" t="s">
        <v>61</v>
      </c>
      <c r="L3" t="s">
        <v>62</v>
      </c>
      <c r="M3" t="s">
        <v>7</v>
      </c>
      <c r="N3" t="s">
        <v>8</v>
      </c>
      <c r="O3" t="s">
        <v>9</v>
      </c>
      <c r="P3" t="s">
        <v>115</v>
      </c>
    </row>
    <row r="4" spans="1:16" x14ac:dyDescent="0.25">
      <c r="A4" t="s">
        <v>300</v>
      </c>
      <c r="B4" t="s">
        <v>0</v>
      </c>
      <c r="C4" t="s">
        <v>5</v>
      </c>
      <c r="D4" t="s">
        <v>6</v>
      </c>
      <c r="E4" t="s">
        <v>112</v>
      </c>
      <c r="F4" t="s">
        <v>113</v>
      </c>
      <c r="G4" t="s">
        <v>114</v>
      </c>
      <c r="H4" t="s">
        <v>32</v>
      </c>
      <c r="I4" t="s">
        <v>33</v>
      </c>
      <c r="J4" t="s">
        <v>11</v>
      </c>
      <c r="K4" t="s">
        <v>61</v>
      </c>
      <c r="L4" t="s">
        <v>62</v>
      </c>
      <c r="M4" t="s">
        <v>7</v>
      </c>
      <c r="N4" t="s">
        <v>8</v>
      </c>
      <c r="O4" t="s">
        <v>9</v>
      </c>
      <c r="P4" t="s">
        <v>115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DF008-3487-4899-B1DD-161C0C423DE1}">
  <sheetPr codeName="Sheet15"/>
  <dimension ref="A1:AD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3.28515625" customWidth="1"/>
    <col min="5" max="5" width="14.5703125" customWidth="1"/>
    <col min="6" max="7" width="13.85546875" customWidth="1"/>
    <col min="8" max="8" width="20.42578125" customWidth="1"/>
    <col min="9" max="9" width="15" customWidth="1"/>
    <col min="10" max="10" width="11.42578125" customWidth="1"/>
    <col min="12" max="12" width="15.42578125" customWidth="1"/>
    <col min="13" max="13" width="15.85546875" customWidth="1"/>
    <col min="14" max="14" width="10.7109375" customWidth="1"/>
    <col min="15" max="15" width="21.85546875" customWidth="1"/>
    <col min="16" max="16" width="21" customWidth="1"/>
    <col min="17" max="17" width="21.85546875" customWidth="1"/>
    <col min="18" max="18" width="23.85546875" customWidth="1"/>
    <col min="19" max="19" width="21.7109375" customWidth="1"/>
    <col min="20" max="20" width="20.85546875" customWidth="1"/>
    <col min="21" max="21" width="20.42578125" customWidth="1"/>
    <col min="22" max="22" width="19.5703125" customWidth="1"/>
    <col min="23" max="23" width="20.42578125" customWidth="1"/>
    <col min="24" max="24" width="22.42578125" customWidth="1"/>
    <col min="25" max="25" width="20.28515625" customWidth="1"/>
    <col min="26" max="26" width="19.42578125" customWidth="1"/>
    <col min="27" max="27" width="13.28515625" customWidth="1"/>
    <col min="28" max="28" width="19.85546875" customWidth="1"/>
    <col min="29" max="29" width="15.85546875" customWidth="1"/>
    <col min="30" max="30" width="13.140625" customWidth="1"/>
  </cols>
  <sheetData>
    <row r="1" spans="1:30" x14ac:dyDescent="0.25">
      <c r="A1" t="s">
        <v>298</v>
      </c>
    </row>
    <row r="2" spans="1:30" x14ac:dyDescent="0.25">
      <c r="A2" t="s">
        <v>160</v>
      </c>
    </row>
    <row r="3" spans="1:30" x14ac:dyDescent="0.25">
      <c r="A3" t="s">
        <v>299</v>
      </c>
      <c r="B3" t="s">
        <v>0</v>
      </c>
      <c r="C3" t="s">
        <v>5</v>
      </c>
      <c r="D3" t="s">
        <v>116</v>
      </c>
      <c r="E3" t="s">
        <v>117</v>
      </c>
      <c r="F3" t="s">
        <v>118</v>
      </c>
      <c r="G3" t="s">
        <v>119</v>
      </c>
      <c r="H3" t="s">
        <v>120</v>
      </c>
      <c r="I3" t="s">
        <v>121</v>
      </c>
      <c r="J3" t="s">
        <v>57</v>
      </c>
      <c r="K3" t="s">
        <v>59</v>
      </c>
      <c r="L3" t="s">
        <v>122</v>
      </c>
      <c r="M3" t="s">
        <v>61</v>
      </c>
      <c r="N3" t="s">
        <v>62</v>
      </c>
      <c r="O3" t="s">
        <v>123</v>
      </c>
      <c r="P3" t="s">
        <v>124</v>
      </c>
      <c r="Q3" t="s">
        <v>125</v>
      </c>
      <c r="R3" t="s">
        <v>126</v>
      </c>
      <c r="S3" t="s">
        <v>127</v>
      </c>
      <c r="T3" t="s">
        <v>128</v>
      </c>
      <c r="U3" t="s">
        <v>129</v>
      </c>
      <c r="V3" t="s">
        <v>130</v>
      </c>
      <c r="W3" t="s">
        <v>131</v>
      </c>
      <c r="X3" t="s">
        <v>64</v>
      </c>
      <c r="Y3" t="s">
        <v>132</v>
      </c>
      <c r="Z3" t="s">
        <v>63</v>
      </c>
      <c r="AA3" t="s">
        <v>133</v>
      </c>
      <c r="AB3" t="s">
        <v>134</v>
      </c>
      <c r="AC3" t="s">
        <v>135</v>
      </c>
      <c r="AD3" t="s">
        <v>136</v>
      </c>
    </row>
    <row r="4" spans="1:30" x14ac:dyDescent="0.25">
      <c r="A4" t="s">
        <v>300</v>
      </c>
      <c r="B4" t="s">
        <v>0</v>
      </c>
      <c r="C4" t="s">
        <v>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57</v>
      </c>
      <c r="K4" t="s">
        <v>59</v>
      </c>
      <c r="L4" t="s">
        <v>122</v>
      </c>
      <c r="M4" t="s">
        <v>61</v>
      </c>
      <c r="N4" t="s">
        <v>62</v>
      </c>
      <c r="O4" t="s">
        <v>123</v>
      </c>
      <c r="P4" t="s">
        <v>124</v>
      </c>
      <c r="Q4" t="s">
        <v>125</v>
      </c>
      <c r="R4" t="s">
        <v>126</v>
      </c>
      <c r="S4" t="s">
        <v>127</v>
      </c>
      <c r="T4" t="s">
        <v>128</v>
      </c>
      <c r="U4" t="s">
        <v>129</v>
      </c>
      <c r="V4" t="s">
        <v>130</v>
      </c>
      <c r="W4" t="s">
        <v>131</v>
      </c>
      <c r="X4" t="s">
        <v>64</v>
      </c>
      <c r="Y4" t="s">
        <v>132</v>
      </c>
      <c r="Z4" t="s">
        <v>63</v>
      </c>
      <c r="AA4" t="s">
        <v>133</v>
      </c>
      <c r="AB4" t="s">
        <v>134</v>
      </c>
      <c r="AC4" t="s">
        <v>135</v>
      </c>
      <c r="AD4" t="s">
        <v>136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7A692-E826-47AC-9C63-C9B1BCBA9ED3}">
  <sheetPr codeName="Sheet16"/>
  <dimension ref="A1:G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6" max="6" width="14.7109375" customWidth="1"/>
    <col min="7" max="7" width="14.5703125" customWidth="1"/>
  </cols>
  <sheetData>
    <row r="1" spans="1:7" x14ac:dyDescent="0.25">
      <c r="A1" t="s">
        <v>298</v>
      </c>
    </row>
    <row r="2" spans="1:7" x14ac:dyDescent="0.25">
      <c r="A2" t="s">
        <v>160</v>
      </c>
    </row>
    <row r="3" spans="1:7" x14ac:dyDescent="0.25">
      <c r="A3" t="s">
        <v>299</v>
      </c>
      <c r="B3" t="s">
        <v>0</v>
      </c>
      <c r="C3" t="s">
        <v>5</v>
      </c>
      <c r="D3" t="s">
        <v>6</v>
      </c>
      <c r="E3" t="s">
        <v>137</v>
      </c>
      <c r="F3" t="s">
        <v>138</v>
      </c>
      <c r="G3" t="s">
        <v>139</v>
      </c>
    </row>
    <row r="4" spans="1:7" x14ac:dyDescent="0.25">
      <c r="A4" t="s">
        <v>300</v>
      </c>
      <c r="B4" t="s">
        <v>0</v>
      </c>
      <c r="C4" t="s">
        <v>5</v>
      </c>
      <c r="D4" t="s">
        <v>6</v>
      </c>
      <c r="E4" t="s">
        <v>137</v>
      </c>
      <c r="F4" t="s">
        <v>138</v>
      </c>
      <c r="G4" t="s">
        <v>139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B09F-A900-42D3-9BA7-4103EB65AB3E}">
  <sheetPr codeName="Sheet17"/>
  <dimension ref="A1:E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7.42578125" customWidth="1"/>
    <col min="5" max="5" width="29.42578125" customWidth="1"/>
  </cols>
  <sheetData>
    <row r="1" spans="1:5" x14ac:dyDescent="0.25">
      <c r="A1" t="s">
        <v>298</v>
      </c>
    </row>
    <row r="2" spans="1:5" x14ac:dyDescent="0.25">
      <c r="A2" t="s">
        <v>160</v>
      </c>
    </row>
    <row r="3" spans="1:5" x14ac:dyDescent="0.25">
      <c r="A3" t="s">
        <v>299</v>
      </c>
      <c r="B3" t="s">
        <v>0</v>
      </c>
      <c r="C3" t="s">
        <v>5</v>
      </c>
      <c r="D3" t="s">
        <v>140</v>
      </c>
      <c r="E3" t="s">
        <v>141</v>
      </c>
    </row>
    <row r="4" spans="1:5" x14ac:dyDescent="0.25">
      <c r="A4" t="s">
        <v>300</v>
      </c>
      <c r="B4" t="s">
        <v>0</v>
      </c>
      <c r="C4" t="s">
        <v>5</v>
      </c>
      <c r="D4" t="s">
        <v>140</v>
      </c>
      <c r="E4" t="s">
        <v>141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679A-0080-4782-8EFF-B2AE30B257AC}">
  <sheetPr codeName="Sheet18"/>
  <dimension ref="A1:J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8.85546875" customWidth="1"/>
    <col min="6" max="6" width="23.140625" customWidth="1"/>
    <col min="7" max="7" width="19" customWidth="1"/>
    <col min="8" max="8" width="10.7109375" customWidth="1"/>
    <col min="9" max="9" width="14.7109375" customWidth="1"/>
    <col min="10" max="10" width="17.42578125" customWidth="1"/>
  </cols>
  <sheetData>
    <row r="1" spans="1:10" x14ac:dyDescent="0.25">
      <c r="A1" t="s">
        <v>298</v>
      </c>
    </row>
    <row r="2" spans="1:10" x14ac:dyDescent="0.25">
      <c r="A2" t="s">
        <v>160</v>
      </c>
    </row>
    <row r="3" spans="1:10" x14ac:dyDescent="0.25">
      <c r="A3" t="s">
        <v>299</v>
      </c>
      <c r="B3" t="s">
        <v>0</v>
      </c>
      <c r="C3" t="s">
        <v>5</v>
      </c>
      <c r="D3" t="s">
        <v>6</v>
      </c>
      <c r="E3" t="s">
        <v>142</v>
      </c>
      <c r="F3" t="s">
        <v>143</v>
      </c>
      <c r="G3" t="s">
        <v>144</v>
      </c>
      <c r="H3" t="s">
        <v>62</v>
      </c>
      <c r="I3" t="s">
        <v>138</v>
      </c>
      <c r="J3" t="s">
        <v>140</v>
      </c>
    </row>
    <row r="4" spans="1:10" x14ac:dyDescent="0.25">
      <c r="A4" t="s">
        <v>300</v>
      </c>
      <c r="B4" t="s">
        <v>0</v>
      </c>
      <c r="C4" t="s">
        <v>5</v>
      </c>
      <c r="D4" t="s">
        <v>6</v>
      </c>
      <c r="E4" t="s">
        <v>142</v>
      </c>
      <c r="F4" t="s">
        <v>143</v>
      </c>
      <c r="G4" t="s">
        <v>144</v>
      </c>
      <c r="H4" t="s">
        <v>62</v>
      </c>
      <c r="I4" t="s">
        <v>138</v>
      </c>
      <c r="J4" t="s">
        <v>140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C26A3-4742-4C78-8F08-EAEE11E192F4}">
  <sheetPr codeName="Sheet19"/>
  <dimension ref="A1:E5"/>
  <sheetViews>
    <sheetView workbookViewId="0">
      <selection activeCell="A6" sqref="A6:XFD14"/>
    </sheetView>
  </sheetViews>
  <sheetFormatPr defaultRowHeight="15" x14ac:dyDescent="0.25"/>
  <cols>
    <col min="1" max="1" width="12" customWidth="1"/>
    <col min="2" max="2" width="10.5703125" customWidth="1"/>
    <col min="3" max="3" width="17.42578125" customWidth="1"/>
    <col min="4" max="4" width="15.42578125" customWidth="1"/>
    <col min="5" max="5" width="14.140625" customWidth="1"/>
  </cols>
  <sheetData>
    <row r="1" spans="1:5" x14ac:dyDescent="0.25">
      <c r="A1" t="s">
        <v>298</v>
      </c>
    </row>
    <row r="2" spans="1:5" x14ac:dyDescent="0.25">
      <c r="A2" t="s">
        <v>160</v>
      </c>
    </row>
    <row r="3" spans="1:5" x14ac:dyDescent="0.25">
      <c r="A3" t="s">
        <v>299</v>
      </c>
      <c r="B3" t="s">
        <v>1</v>
      </c>
      <c r="C3" t="s">
        <v>145</v>
      </c>
      <c r="D3" t="s">
        <v>146</v>
      </c>
      <c r="E3" t="s">
        <v>147</v>
      </c>
    </row>
    <row r="4" spans="1:5" x14ac:dyDescent="0.25">
      <c r="A4" t="s">
        <v>300</v>
      </c>
      <c r="B4" t="s">
        <v>1</v>
      </c>
      <c r="C4" t="s">
        <v>145</v>
      </c>
      <c r="D4" t="s">
        <v>146</v>
      </c>
      <c r="E4" t="s">
        <v>147</v>
      </c>
    </row>
    <row r="5" spans="1:5" x14ac:dyDescent="0.25">
      <c r="C5" s="1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A45E9-4434-4C61-A02C-1DDF74C527F9}">
  <sheetPr codeName="Sheet20"/>
  <dimension ref="A1:I4"/>
  <sheetViews>
    <sheetView workbookViewId="0">
      <selection activeCell="A6" sqref="A6:XFD39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6" max="6" width="22" customWidth="1"/>
    <col min="7" max="7" width="14.7109375" customWidth="1"/>
    <col min="8" max="8" width="14.42578125" customWidth="1"/>
    <col min="9" max="9" width="15.5703125" customWidth="1"/>
  </cols>
  <sheetData>
    <row r="1" spans="1:9" x14ac:dyDescent="0.25">
      <c r="A1" t="s">
        <v>298</v>
      </c>
    </row>
    <row r="2" spans="1:9" x14ac:dyDescent="0.25">
      <c r="A2" t="s">
        <v>160</v>
      </c>
    </row>
    <row r="3" spans="1:9" x14ac:dyDescent="0.25">
      <c r="A3" t="s">
        <v>299</v>
      </c>
      <c r="B3" t="s">
        <v>0</v>
      </c>
      <c r="C3" t="s">
        <v>5</v>
      </c>
      <c r="D3" t="s">
        <v>6</v>
      </c>
      <c r="E3" t="s">
        <v>51</v>
      </c>
      <c r="F3" t="s">
        <v>148</v>
      </c>
      <c r="G3" t="s">
        <v>138</v>
      </c>
      <c r="H3" t="s">
        <v>149</v>
      </c>
      <c r="I3" t="s">
        <v>150</v>
      </c>
    </row>
    <row r="4" spans="1:9" x14ac:dyDescent="0.25">
      <c r="A4" t="s">
        <v>300</v>
      </c>
      <c r="B4" t="s">
        <v>0</v>
      </c>
      <c r="C4" t="s">
        <v>5</v>
      </c>
      <c r="D4" t="s">
        <v>6</v>
      </c>
      <c r="E4" t="s">
        <v>51</v>
      </c>
      <c r="F4" t="s">
        <v>148</v>
      </c>
      <c r="G4" t="s">
        <v>138</v>
      </c>
      <c r="H4" t="s">
        <v>149</v>
      </c>
      <c r="I4" t="s">
        <v>150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B791D-5F5B-4EC9-ADEB-788F75C65383}">
  <sheetPr codeName="Sheet21"/>
  <dimension ref="A1:M4"/>
  <sheetViews>
    <sheetView workbookViewId="0">
      <selection activeCell="A6" sqref="A6:XFD11"/>
    </sheetView>
  </sheetViews>
  <sheetFormatPr defaultRowHeight="15" x14ac:dyDescent="0.25"/>
  <cols>
    <col min="1" max="1" width="12" customWidth="1"/>
    <col min="2" max="2" width="9.7109375" customWidth="1"/>
    <col min="4" max="4" width="15.7109375" customWidth="1"/>
    <col min="5" max="5" width="19.5703125" customWidth="1"/>
    <col min="6" max="6" width="18.5703125" customWidth="1"/>
    <col min="7" max="7" width="17.42578125" customWidth="1"/>
    <col min="8" max="8" width="25.140625" customWidth="1"/>
    <col min="10" max="10" width="31.140625" customWidth="1"/>
    <col min="11" max="11" width="22" customWidth="1"/>
    <col min="12" max="12" width="18.85546875" customWidth="1"/>
    <col min="13" max="13" width="26.85546875" customWidth="1"/>
  </cols>
  <sheetData>
    <row r="1" spans="1:13" x14ac:dyDescent="0.25">
      <c r="A1" t="s">
        <v>298</v>
      </c>
    </row>
    <row r="2" spans="1:13" x14ac:dyDescent="0.25">
      <c r="A2" t="s">
        <v>160</v>
      </c>
    </row>
    <row r="3" spans="1:13" x14ac:dyDescent="0.25">
      <c r="A3" t="s">
        <v>299</v>
      </c>
      <c r="B3" t="s">
        <v>0</v>
      </c>
      <c r="C3" t="s">
        <v>5</v>
      </c>
      <c r="D3" t="s">
        <v>151</v>
      </c>
      <c r="E3" t="s">
        <v>152</v>
      </c>
      <c r="F3" t="s">
        <v>153</v>
      </c>
      <c r="G3" t="s">
        <v>140</v>
      </c>
      <c r="H3" t="s">
        <v>154</v>
      </c>
      <c r="I3" t="s">
        <v>155</v>
      </c>
      <c r="J3" t="s">
        <v>156</v>
      </c>
      <c r="K3" t="s">
        <v>157</v>
      </c>
      <c r="L3" t="s">
        <v>158</v>
      </c>
      <c r="M3" t="s">
        <v>159</v>
      </c>
    </row>
    <row r="4" spans="1:13" x14ac:dyDescent="0.25">
      <c r="A4" t="s">
        <v>300</v>
      </c>
      <c r="B4" t="s">
        <v>0</v>
      </c>
      <c r="C4" t="s">
        <v>5</v>
      </c>
      <c r="D4" t="s">
        <v>151</v>
      </c>
      <c r="E4" t="s">
        <v>152</v>
      </c>
      <c r="F4" t="s">
        <v>153</v>
      </c>
      <c r="G4" t="s">
        <v>140</v>
      </c>
      <c r="H4" t="s">
        <v>154</v>
      </c>
      <c r="I4" t="s">
        <v>155</v>
      </c>
      <c r="J4" t="s">
        <v>156</v>
      </c>
      <c r="K4" t="s">
        <v>157</v>
      </c>
      <c r="L4" t="s">
        <v>158</v>
      </c>
      <c r="M4" t="s">
        <v>159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CFED-E510-4AE9-A7B0-5DDD868BABC9}">
  <sheetPr codeName="Sheet22"/>
  <dimension ref="A1:H4"/>
  <sheetViews>
    <sheetView workbookViewId="0">
      <selection activeCell="A6" sqref="A6:XFD6"/>
    </sheetView>
  </sheetViews>
  <sheetFormatPr defaultRowHeight="15" x14ac:dyDescent="0.25"/>
  <cols>
    <col min="1" max="1" width="12" customWidth="1"/>
    <col min="2" max="2" width="10.5703125" customWidth="1"/>
    <col min="4" max="4" width="20.42578125" customWidth="1"/>
    <col min="5" max="5" width="22" customWidth="1"/>
    <col min="6" max="6" width="18.85546875" customWidth="1"/>
    <col min="7" max="7" width="26.85546875" customWidth="1"/>
  </cols>
  <sheetData>
    <row r="1" spans="1:8" x14ac:dyDescent="0.25">
      <c r="A1" t="s">
        <v>298</v>
      </c>
    </row>
    <row r="2" spans="1:8" x14ac:dyDescent="0.25">
      <c r="A2" t="s">
        <v>160</v>
      </c>
    </row>
    <row r="3" spans="1:8" x14ac:dyDescent="0.25">
      <c r="A3" t="s">
        <v>299</v>
      </c>
      <c r="B3" t="s">
        <v>1</v>
      </c>
      <c r="C3" t="s">
        <v>155</v>
      </c>
      <c r="D3" t="s">
        <v>120</v>
      </c>
      <c r="E3" t="s">
        <v>157</v>
      </c>
      <c r="F3" t="s">
        <v>158</v>
      </c>
      <c r="G3" t="s">
        <v>159</v>
      </c>
      <c r="H3" t="s">
        <v>160</v>
      </c>
    </row>
    <row r="4" spans="1:8" x14ac:dyDescent="0.25">
      <c r="A4" t="s">
        <v>300</v>
      </c>
      <c r="B4" t="s">
        <v>1</v>
      </c>
      <c r="C4" t="s">
        <v>155</v>
      </c>
      <c r="D4" t="s">
        <v>120</v>
      </c>
      <c r="E4" t="s">
        <v>157</v>
      </c>
      <c r="F4" t="s">
        <v>158</v>
      </c>
      <c r="G4" t="s">
        <v>159</v>
      </c>
      <c r="H4" t="s">
        <v>160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A25C5-5E61-49D5-A944-D2D3D1C88C4E}">
  <sheetPr codeName="Sheet23"/>
  <dimension ref="A1:E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3" max="3" width="20.42578125" customWidth="1"/>
    <col min="4" max="4" width="32.7109375" customWidth="1"/>
    <col min="5" max="5" width="33" customWidth="1"/>
  </cols>
  <sheetData>
    <row r="1" spans="1:5" x14ac:dyDescent="0.25">
      <c r="A1" t="s">
        <v>298</v>
      </c>
    </row>
    <row r="2" spans="1:5" x14ac:dyDescent="0.25">
      <c r="A2" t="s">
        <v>160</v>
      </c>
    </row>
    <row r="3" spans="1:5" x14ac:dyDescent="0.25">
      <c r="A3" t="s">
        <v>299</v>
      </c>
      <c r="B3" t="s">
        <v>0</v>
      </c>
      <c r="C3" t="s">
        <v>161</v>
      </c>
      <c r="D3" t="s">
        <v>162</v>
      </c>
      <c r="E3" t="s">
        <v>163</v>
      </c>
    </row>
    <row r="4" spans="1:5" x14ac:dyDescent="0.25">
      <c r="A4" t="s">
        <v>300</v>
      </c>
      <c r="B4" t="s">
        <v>0</v>
      </c>
      <c r="C4" t="s">
        <v>161</v>
      </c>
      <c r="D4" t="s">
        <v>162</v>
      </c>
      <c r="E4" t="s">
        <v>163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74EF3-36B8-4F18-BAE7-44771DC3E51B}">
  <sheetPr codeName="Sheet24"/>
  <dimension ref="A1:H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3" max="3" width="11.7109375" customWidth="1"/>
    <col min="5" max="5" width="32.5703125" customWidth="1"/>
    <col min="6" max="6" width="32" customWidth="1"/>
    <col min="7" max="7" width="32.42578125" customWidth="1"/>
    <col min="8" max="8" width="31.85546875" customWidth="1"/>
  </cols>
  <sheetData>
    <row r="1" spans="1:8" x14ac:dyDescent="0.25">
      <c r="A1" t="s">
        <v>298</v>
      </c>
    </row>
    <row r="2" spans="1:8" x14ac:dyDescent="0.25">
      <c r="A2" t="s">
        <v>160</v>
      </c>
    </row>
    <row r="3" spans="1:8" x14ac:dyDescent="0.25">
      <c r="A3" t="s">
        <v>299</v>
      </c>
      <c r="B3" t="s">
        <v>0</v>
      </c>
      <c r="C3" t="s">
        <v>164</v>
      </c>
      <c r="D3" t="s">
        <v>5</v>
      </c>
      <c r="E3" t="s">
        <v>165</v>
      </c>
      <c r="F3" t="s">
        <v>166</v>
      </c>
      <c r="G3" t="s">
        <v>167</v>
      </c>
      <c r="H3" t="s">
        <v>168</v>
      </c>
    </row>
    <row r="4" spans="1:8" x14ac:dyDescent="0.25">
      <c r="A4" t="s">
        <v>300</v>
      </c>
      <c r="B4" t="s">
        <v>0</v>
      </c>
      <c r="C4" t="s">
        <v>164</v>
      </c>
      <c r="D4" t="s">
        <v>5</v>
      </c>
      <c r="E4" t="s">
        <v>165</v>
      </c>
      <c r="F4" t="s">
        <v>166</v>
      </c>
      <c r="G4" t="s">
        <v>167</v>
      </c>
      <c r="H4" t="s">
        <v>168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3E78-1527-449C-904A-02B7C83D8B42}">
  <sheetPr codeName="Sheet25"/>
  <dimension ref="A1:F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3" max="3" width="11.7109375" customWidth="1"/>
    <col min="4" max="4" width="12" customWidth="1"/>
    <col min="5" max="5" width="12.7109375" customWidth="1"/>
    <col min="6" max="6" width="13.28515625" customWidth="1"/>
  </cols>
  <sheetData>
    <row r="1" spans="1:6" x14ac:dyDescent="0.25">
      <c r="A1" t="s">
        <v>298</v>
      </c>
    </row>
    <row r="2" spans="1:6" x14ac:dyDescent="0.25">
      <c r="A2" t="s">
        <v>160</v>
      </c>
    </row>
    <row r="3" spans="1:6" x14ac:dyDescent="0.25">
      <c r="A3" t="s">
        <v>299</v>
      </c>
      <c r="B3" t="s">
        <v>0</v>
      </c>
      <c r="C3" t="s">
        <v>164</v>
      </c>
      <c r="D3" t="s">
        <v>169</v>
      </c>
      <c r="E3" t="s">
        <v>170</v>
      </c>
      <c r="F3" t="s">
        <v>171</v>
      </c>
    </row>
    <row r="4" spans="1:6" x14ac:dyDescent="0.25">
      <c r="A4" t="s">
        <v>300</v>
      </c>
      <c r="B4" t="s">
        <v>0</v>
      </c>
      <c r="C4" t="s">
        <v>164</v>
      </c>
      <c r="D4" t="s">
        <v>169</v>
      </c>
      <c r="E4" t="s">
        <v>170</v>
      </c>
      <c r="F4" t="s">
        <v>171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6C01-E94E-4025-9A3F-B743312A4246}">
  <sheetPr codeName="Sheet26"/>
  <dimension ref="A1:M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8.140625" customWidth="1"/>
    <col min="7" max="7" width="20.140625" customWidth="1"/>
    <col min="8" max="8" width="21" customWidth="1"/>
    <col min="9" max="9" width="23.5703125" customWidth="1"/>
    <col min="10" max="10" width="10" customWidth="1"/>
    <col min="11" max="11" width="20.28515625" customWidth="1"/>
    <col min="12" max="12" width="15.7109375" customWidth="1"/>
    <col min="13" max="13" width="23" customWidth="1"/>
  </cols>
  <sheetData>
    <row r="1" spans="1:13" x14ac:dyDescent="0.25">
      <c r="A1" t="s">
        <v>298</v>
      </c>
    </row>
    <row r="2" spans="1:13" x14ac:dyDescent="0.25">
      <c r="A2" t="s">
        <v>160</v>
      </c>
    </row>
    <row r="3" spans="1:13" x14ac:dyDescent="0.25">
      <c r="A3" t="s">
        <v>299</v>
      </c>
      <c r="B3" t="s">
        <v>0</v>
      </c>
      <c r="C3" t="s">
        <v>5</v>
      </c>
      <c r="D3" t="s">
        <v>6</v>
      </c>
      <c r="E3" t="s">
        <v>172</v>
      </c>
      <c r="F3" t="s">
        <v>155</v>
      </c>
      <c r="G3" t="s">
        <v>173</v>
      </c>
      <c r="H3" t="s">
        <v>174</v>
      </c>
      <c r="I3" t="s">
        <v>175</v>
      </c>
      <c r="J3" t="s">
        <v>176</v>
      </c>
      <c r="K3" t="s">
        <v>177</v>
      </c>
      <c r="L3" t="s">
        <v>178</v>
      </c>
      <c r="M3" t="s">
        <v>179</v>
      </c>
    </row>
    <row r="4" spans="1:13" x14ac:dyDescent="0.25">
      <c r="A4" t="s">
        <v>300</v>
      </c>
      <c r="B4" t="s">
        <v>0</v>
      </c>
      <c r="C4" t="s">
        <v>5</v>
      </c>
      <c r="D4" t="s">
        <v>6</v>
      </c>
      <c r="E4" t="s">
        <v>172</v>
      </c>
      <c r="F4" t="s">
        <v>155</v>
      </c>
      <c r="G4" t="s">
        <v>173</v>
      </c>
      <c r="H4" t="s">
        <v>174</v>
      </c>
      <c r="I4" t="s">
        <v>175</v>
      </c>
      <c r="J4" t="s">
        <v>176</v>
      </c>
      <c r="K4" t="s">
        <v>177</v>
      </c>
      <c r="L4" t="s">
        <v>178</v>
      </c>
      <c r="M4" t="s">
        <v>179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3C363-FE48-4073-9E17-050C43D5143B}">
  <sheetPr codeName="Sheet27"/>
  <dimension ref="A1:T5"/>
  <sheetViews>
    <sheetView workbookViewId="0">
      <selection activeCell="A6" sqref="A6:XFD81"/>
    </sheetView>
  </sheetViews>
  <sheetFormatPr defaultRowHeight="15" x14ac:dyDescent="0.25"/>
  <cols>
    <col min="1" max="1" width="12" customWidth="1"/>
    <col min="2" max="2" width="9.7109375" customWidth="1"/>
    <col min="4" max="4" width="9.7109375" customWidth="1"/>
    <col min="5" max="5" width="22.28515625" customWidth="1"/>
    <col min="6" max="6" width="20.85546875" customWidth="1"/>
    <col min="7" max="7" width="20.7109375" customWidth="1"/>
    <col min="8" max="8" width="17.140625" customWidth="1"/>
    <col min="9" max="9" width="14.7109375" customWidth="1"/>
    <col min="10" max="10" width="20.7109375" customWidth="1"/>
    <col min="11" max="11" width="12.42578125" customWidth="1"/>
    <col min="12" max="12" width="18.28515625" customWidth="1"/>
    <col min="13" max="13" width="14.140625" customWidth="1"/>
    <col min="14" max="14" width="17.42578125" customWidth="1"/>
    <col min="16" max="16" width="16.140625" customWidth="1"/>
    <col min="18" max="18" width="16.85546875" customWidth="1"/>
  </cols>
  <sheetData>
    <row r="1" spans="1:20" x14ac:dyDescent="0.25">
      <c r="A1" t="s">
        <v>298</v>
      </c>
    </row>
    <row r="2" spans="1:20" x14ac:dyDescent="0.25">
      <c r="A2" t="s">
        <v>160</v>
      </c>
    </row>
    <row r="3" spans="1:20" x14ac:dyDescent="0.25">
      <c r="A3" t="s">
        <v>299</v>
      </c>
      <c r="B3" t="s">
        <v>0</v>
      </c>
      <c r="C3" t="s">
        <v>5</v>
      </c>
      <c r="D3" t="s">
        <v>180</v>
      </c>
      <c r="E3" t="s">
        <v>181</v>
      </c>
      <c r="F3" t="s">
        <v>182</v>
      </c>
      <c r="G3" t="s">
        <v>183</v>
      </c>
      <c r="H3" t="s">
        <v>184</v>
      </c>
      <c r="I3" t="s">
        <v>185</v>
      </c>
      <c r="J3" t="s">
        <v>186</v>
      </c>
      <c r="K3" t="s">
        <v>187</v>
      </c>
      <c r="L3" t="s">
        <v>188</v>
      </c>
      <c r="M3" t="s">
        <v>189</v>
      </c>
      <c r="N3" t="s">
        <v>140</v>
      </c>
      <c r="O3" t="s">
        <v>190</v>
      </c>
      <c r="P3" t="s">
        <v>191</v>
      </c>
      <c r="Q3" t="s">
        <v>192</v>
      </c>
      <c r="R3" t="s">
        <v>66</v>
      </c>
      <c r="S3" t="s">
        <v>311</v>
      </c>
      <c r="T3" t="s">
        <v>312</v>
      </c>
    </row>
    <row r="4" spans="1:20" x14ac:dyDescent="0.25">
      <c r="A4" t="s">
        <v>300</v>
      </c>
      <c r="B4" t="s">
        <v>0</v>
      </c>
      <c r="C4" t="s">
        <v>5</v>
      </c>
      <c r="D4" t="s">
        <v>180</v>
      </c>
      <c r="E4" t="s">
        <v>181</v>
      </c>
      <c r="F4" t="s">
        <v>182</v>
      </c>
      <c r="G4" t="s">
        <v>183</v>
      </c>
      <c r="H4" t="s">
        <v>184</v>
      </c>
      <c r="I4" t="s">
        <v>185</v>
      </c>
      <c r="J4" t="s">
        <v>186</v>
      </c>
      <c r="K4" t="s">
        <v>187</v>
      </c>
      <c r="L4" t="s">
        <v>188</v>
      </c>
      <c r="M4" t="s">
        <v>189</v>
      </c>
      <c r="N4" t="s">
        <v>140</v>
      </c>
      <c r="O4" t="s">
        <v>190</v>
      </c>
      <c r="P4" t="s">
        <v>191</v>
      </c>
      <c r="Q4" t="s">
        <v>192</v>
      </c>
      <c r="R4" t="s">
        <v>66</v>
      </c>
      <c r="S4" t="s">
        <v>311</v>
      </c>
      <c r="T4" t="s">
        <v>312</v>
      </c>
    </row>
    <row r="5" spans="1:20" x14ac:dyDescent="0.25">
      <c r="S5" t="str">
        <f>LAB_SPECIMEN[[#This Row],[PointID]]&amp;LAB_SPECIMEN[[#This Row],[Depth]]</f>
        <v/>
      </c>
      <c r="T5">
        <f>LAB_SPECIMEN[[#This Row],[Bottom]]</f>
        <v>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86D02-5A1A-4FAA-9F66-654757018B46}">
  <sheetPr codeName="Sheet28"/>
  <dimension ref="A1:J5"/>
  <sheetViews>
    <sheetView workbookViewId="0">
      <selection activeCell="A6" sqref="A6:XFD115"/>
    </sheetView>
  </sheetViews>
  <sheetFormatPr defaultRowHeight="15" x14ac:dyDescent="0.25"/>
  <cols>
    <col min="1" max="1" width="12" customWidth="1"/>
    <col min="2" max="2" width="9.7109375" customWidth="1"/>
    <col min="4" max="4" width="9.7109375" customWidth="1"/>
    <col min="5" max="5" width="10" customWidth="1"/>
    <col min="7" max="7" width="13.28515625" customWidth="1"/>
    <col min="8" max="8" width="11.5703125" customWidth="1"/>
  </cols>
  <sheetData>
    <row r="1" spans="1:10" x14ac:dyDescent="0.25">
      <c r="A1" t="s">
        <v>298</v>
      </c>
    </row>
    <row r="2" spans="1:10" x14ac:dyDescent="0.25">
      <c r="A2" t="s">
        <v>160</v>
      </c>
    </row>
    <row r="3" spans="1:10" x14ac:dyDescent="0.25">
      <c r="A3" t="s">
        <v>299</v>
      </c>
      <c r="B3" t="s">
        <v>0</v>
      </c>
      <c r="C3" t="s">
        <v>5</v>
      </c>
      <c r="D3" t="s">
        <v>180</v>
      </c>
      <c r="E3" t="s">
        <v>193</v>
      </c>
      <c r="F3" t="s">
        <v>194</v>
      </c>
      <c r="G3" t="s">
        <v>111</v>
      </c>
      <c r="H3" t="s">
        <v>195</v>
      </c>
      <c r="I3" t="s">
        <v>301</v>
      </c>
      <c r="J3" t="s">
        <v>302</v>
      </c>
    </row>
    <row r="4" spans="1:10" x14ac:dyDescent="0.25">
      <c r="A4" t="s">
        <v>300</v>
      </c>
      <c r="B4" t="s">
        <v>0</v>
      </c>
      <c r="C4" t="s">
        <v>5</v>
      </c>
      <c r="D4" t="s">
        <v>180</v>
      </c>
      <c r="E4" t="s">
        <v>193</v>
      </c>
      <c r="F4" t="s">
        <v>194</v>
      </c>
      <c r="G4" t="s">
        <v>111</v>
      </c>
      <c r="H4" t="s">
        <v>195</v>
      </c>
      <c r="I4" t="s">
        <v>301</v>
      </c>
      <c r="J4" t="s">
        <v>302</v>
      </c>
    </row>
    <row r="5" spans="1:10" x14ac:dyDescent="0.25">
      <c r="I5">
        <f>IF(COUNTIF(LITHOLOGY_SOIL[[#All],[LocationDepth]],LITHOLOGY[[#This Row],[PointID]]&amp;LITHOLOGY[[#This Row],[Depth]])&gt;0,1,IF(LITHOLOGY[[#This Row],[Depth]]=0,1,""))</f>
        <v>1</v>
      </c>
      <c r="J5">
        <f>IF(COUNTIF(LITHOLOGY_ROCK[[#All],[locationdepth]],LITHOLOGY[[#This Row],[PointID]]&amp;LITHOLOGY[[#This Row],[Depth]])&gt;0,1,"")</f>
        <v>1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29AAD-77DB-451A-B976-36EA5183F5D7}">
  <sheetPr codeName="Sheet29"/>
  <dimension ref="A1:N5"/>
  <sheetViews>
    <sheetView workbookViewId="0">
      <selection activeCell="A6" sqref="A6:XFD23"/>
    </sheetView>
  </sheetViews>
  <sheetFormatPr defaultRowHeight="15" x14ac:dyDescent="0.25"/>
  <cols>
    <col min="1" max="1" width="12" customWidth="1"/>
    <col min="2" max="2" width="9.7109375" customWidth="1"/>
    <col min="5" max="5" width="20.140625" customWidth="1"/>
    <col min="6" max="6" width="21" customWidth="1"/>
    <col min="7" max="7" width="23.5703125" customWidth="1"/>
    <col min="8" max="8" width="10" customWidth="1"/>
    <col min="9" max="9" width="20.28515625" customWidth="1"/>
    <col min="10" max="10" width="15.7109375" customWidth="1"/>
    <col min="11" max="11" width="23" customWidth="1"/>
    <col min="12" max="12" width="11.28515625" customWidth="1"/>
    <col min="13" max="13" width="15.5703125" customWidth="1"/>
    <col min="14" max="14" width="25.85546875" customWidth="1"/>
  </cols>
  <sheetData>
    <row r="1" spans="1:14" x14ac:dyDescent="0.25">
      <c r="A1" t="s">
        <v>298</v>
      </c>
    </row>
    <row r="2" spans="1:14" x14ac:dyDescent="0.25">
      <c r="A2" t="s">
        <v>160</v>
      </c>
    </row>
    <row r="3" spans="1:14" x14ac:dyDescent="0.25">
      <c r="A3" t="s">
        <v>299</v>
      </c>
      <c r="B3" t="s">
        <v>0</v>
      </c>
      <c r="C3" t="s">
        <v>5</v>
      </c>
      <c r="D3" t="s">
        <v>155</v>
      </c>
      <c r="E3" t="s">
        <v>173</v>
      </c>
      <c r="F3" t="s">
        <v>174</v>
      </c>
      <c r="G3" t="s">
        <v>175</v>
      </c>
      <c r="H3" t="s">
        <v>176</v>
      </c>
      <c r="I3" t="s">
        <v>177</v>
      </c>
      <c r="J3" t="s">
        <v>178</v>
      </c>
      <c r="K3" t="s">
        <v>179</v>
      </c>
      <c r="L3" t="s">
        <v>196</v>
      </c>
      <c r="M3" t="s">
        <v>197</v>
      </c>
    </row>
    <row r="4" spans="1:14" x14ac:dyDescent="0.25">
      <c r="A4" t="s">
        <v>300</v>
      </c>
      <c r="B4" t="s">
        <v>0</v>
      </c>
      <c r="C4" t="s">
        <v>5</v>
      </c>
      <c r="D4" t="s">
        <v>155</v>
      </c>
      <c r="E4" t="s">
        <v>173</v>
      </c>
      <c r="F4" t="s">
        <v>174</v>
      </c>
      <c r="G4" t="s">
        <v>175</v>
      </c>
      <c r="H4" t="s">
        <v>176</v>
      </c>
      <c r="I4" t="s">
        <v>177</v>
      </c>
      <c r="J4" t="s">
        <v>178</v>
      </c>
      <c r="K4" t="s">
        <v>179</v>
      </c>
      <c r="L4" t="s">
        <v>196</v>
      </c>
      <c r="M4" t="s">
        <v>197</v>
      </c>
      <c r="N4" t="s">
        <v>304</v>
      </c>
    </row>
    <row r="5" spans="1:14" x14ac:dyDescent="0.25">
      <c r="N5" t="str">
        <f>LITHOLOGY_ROCK[[#This Row],[PointID]]&amp;LITHOLOGY_ROCK[[#This Row],[Depth]]</f>
        <v/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24778-01D1-4106-90B5-876163F1EFC8}">
  <sheetPr codeName="Sheet30"/>
  <dimension ref="A1:K5"/>
  <sheetViews>
    <sheetView workbookViewId="0">
      <selection activeCell="A6" sqref="A6:XFD13"/>
    </sheetView>
  </sheetViews>
  <sheetFormatPr defaultRowHeight="15" x14ac:dyDescent="0.25"/>
  <cols>
    <col min="1" max="1" width="12" customWidth="1"/>
    <col min="2" max="2" width="9.7109375" customWidth="1"/>
    <col min="5" max="5" width="22.28515625" customWidth="1"/>
    <col min="6" max="6" width="16.140625" customWidth="1"/>
    <col min="7" max="7" width="26.5703125" customWidth="1"/>
    <col min="8" max="8" width="20.42578125" customWidth="1"/>
    <col min="9" max="9" width="23" customWidth="1"/>
    <col min="10" max="10" width="18.5703125" customWidth="1"/>
    <col min="11" max="11" width="21.85546875" customWidth="1"/>
  </cols>
  <sheetData>
    <row r="1" spans="1:11" x14ac:dyDescent="0.25">
      <c r="A1" t="s">
        <v>298</v>
      </c>
    </row>
    <row r="2" spans="1:11" x14ac:dyDescent="0.25">
      <c r="A2" t="s">
        <v>160</v>
      </c>
    </row>
    <row r="3" spans="1:11" x14ac:dyDescent="0.25">
      <c r="A3" t="s">
        <v>299</v>
      </c>
      <c r="B3" t="s">
        <v>0</v>
      </c>
      <c r="C3" t="s">
        <v>5</v>
      </c>
      <c r="D3" t="s">
        <v>198</v>
      </c>
      <c r="E3" t="s">
        <v>199</v>
      </c>
      <c r="F3" t="s">
        <v>200</v>
      </c>
      <c r="G3" t="s">
        <v>201</v>
      </c>
      <c r="H3" t="s">
        <v>202</v>
      </c>
      <c r="I3" t="s">
        <v>179</v>
      </c>
      <c r="J3" t="s">
        <v>203</v>
      </c>
    </row>
    <row r="4" spans="1:11" x14ac:dyDescent="0.25">
      <c r="A4" t="s">
        <v>300</v>
      </c>
      <c r="B4" t="s">
        <v>0</v>
      </c>
      <c r="C4" t="s">
        <v>5</v>
      </c>
      <c r="D4" t="s">
        <v>198</v>
      </c>
      <c r="E4" t="s">
        <v>199</v>
      </c>
      <c r="F4" t="s">
        <v>200</v>
      </c>
      <c r="G4" t="s">
        <v>201</v>
      </c>
      <c r="H4" t="s">
        <v>202</v>
      </c>
      <c r="I4" t="s">
        <v>179</v>
      </c>
      <c r="J4" t="s">
        <v>203</v>
      </c>
      <c r="K4" t="s">
        <v>303</v>
      </c>
    </row>
    <row r="5" spans="1:11" x14ac:dyDescent="0.25">
      <c r="K5" t="str">
        <f>LITHOLOGY_SOIL[[#This Row],[PointID]]&amp;LITHOLOGY_SOIL[[#This Row],[Depth]]</f>
        <v/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55A5A-EFEA-44F2-98C3-3FA6BC85A76D}">
  <sheetPr codeName="Sheet31"/>
  <dimension ref="A1:G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10.5703125" customWidth="1"/>
    <col min="3" max="3" width="14.28515625" customWidth="1"/>
    <col min="4" max="4" width="14.140625" customWidth="1"/>
    <col min="5" max="5" width="15.140625" customWidth="1"/>
    <col min="6" max="6" width="13" customWidth="1"/>
  </cols>
  <sheetData>
    <row r="1" spans="1:7" x14ac:dyDescent="0.25">
      <c r="A1" t="s">
        <v>298</v>
      </c>
    </row>
    <row r="2" spans="1:7" x14ac:dyDescent="0.25">
      <c r="A2" t="s">
        <v>160</v>
      </c>
    </row>
    <row r="3" spans="1:7" x14ac:dyDescent="0.25">
      <c r="A3" t="s">
        <v>299</v>
      </c>
      <c r="B3" t="s">
        <v>1</v>
      </c>
      <c r="C3" t="s">
        <v>204</v>
      </c>
      <c r="D3" t="s">
        <v>205</v>
      </c>
      <c r="E3" t="s">
        <v>206</v>
      </c>
      <c r="F3" t="s">
        <v>207</v>
      </c>
      <c r="G3" t="s">
        <v>160</v>
      </c>
    </row>
    <row r="4" spans="1:7" x14ac:dyDescent="0.25">
      <c r="A4" t="s">
        <v>300</v>
      </c>
      <c r="B4" t="s">
        <v>1</v>
      </c>
      <c r="C4" t="s">
        <v>204</v>
      </c>
      <c r="D4" t="s">
        <v>205</v>
      </c>
      <c r="E4" t="s">
        <v>206</v>
      </c>
      <c r="F4" t="s">
        <v>207</v>
      </c>
      <c r="G4" t="s">
        <v>160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B6B07-8A4D-4D88-9938-B2C04A1F5170}">
  <sheetPr codeName="Sheet32"/>
  <dimension ref="A1:B4"/>
  <sheetViews>
    <sheetView workbookViewId="0">
      <selection activeCell="A6" sqref="A6:XFD43"/>
    </sheetView>
  </sheetViews>
  <sheetFormatPr defaultRowHeight="15" x14ac:dyDescent="0.25"/>
  <cols>
    <col min="1" max="1" width="12" customWidth="1"/>
    <col min="2" max="2" width="10.5703125" customWidth="1"/>
  </cols>
  <sheetData>
    <row r="1" spans="1:2" x14ac:dyDescent="0.25">
      <c r="A1" t="s">
        <v>298</v>
      </c>
    </row>
    <row r="2" spans="1:2" x14ac:dyDescent="0.25">
      <c r="A2" t="s">
        <v>160</v>
      </c>
    </row>
    <row r="3" spans="1:2" x14ac:dyDescent="0.25">
      <c r="A3" t="s">
        <v>299</v>
      </c>
      <c r="B3" t="s">
        <v>1</v>
      </c>
    </row>
    <row r="4" spans="1:2" x14ac:dyDescent="0.25">
      <c r="A4" t="s">
        <v>300</v>
      </c>
      <c r="B4" t="s">
        <v>1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7DC5-68B7-466E-BE61-450CD8E1D021}">
  <sheetPr codeName="Sheet33"/>
  <dimension ref="A1:AE5"/>
  <sheetViews>
    <sheetView workbookViewId="0">
      <selection activeCell="A6" sqref="A6:XFD11"/>
    </sheetView>
  </sheetViews>
  <sheetFormatPr defaultRowHeight="15" x14ac:dyDescent="0.25"/>
  <cols>
    <col min="1" max="1" width="12" customWidth="1"/>
    <col min="2" max="2" width="9.7109375" customWidth="1"/>
    <col min="3" max="3" width="11.140625" customWidth="1"/>
    <col min="4" max="4" width="22" customWidth="1"/>
    <col min="5" max="5" width="9.42578125" customWidth="1"/>
    <col min="7" max="7" width="17.28515625" customWidth="1"/>
    <col min="8" max="8" width="14.140625" customWidth="1"/>
    <col min="9" max="9" width="15.28515625" customWidth="1"/>
    <col min="10" max="10" width="11.42578125" customWidth="1"/>
    <col min="11" max="11" width="14.7109375" customWidth="1"/>
    <col min="12" max="12" width="12.7109375" customWidth="1"/>
    <col min="13" max="13" width="15.42578125" customWidth="1"/>
    <col min="14" max="14" width="14" customWidth="1"/>
    <col min="15" max="15" width="15.28515625" customWidth="1"/>
    <col min="16" max="16" width="15.7109375" customWidth="1"/>
    <col min="17" max="17" width="12" customWidth="1"/>
    <col min="18" max="18" width="10" customWidth="1"/>
    <col min="19" max="19" width="18.140625" customWidth="1"/>
    <col min="20" max="20" width="19.42578125" customWidth="1"/>
    <col min="21" max="21" width="18.85546875" customWidth="1"/>
    <col min="22" max="22" width="10.42578125" customWidth="1"/>
    <col min="23" max="23" width="12" customWidth="1"/>
    <col min="28" max="28" width="9.28515625" customWidth="1"/>
    <col min="29" max="29" width="16.7109375" customWidth="1"/>
    <col min="30" max="30" width="15.28515625" customWidth="1"/>
  </cols>
  <sheetData>
    <row r="1" spans="1:31" x14ac:dyDescent="0.25">
      <c r="A1" t="s">
        <v>298</v>
      </c>
    </row>
    <row r="2" spans="1:31" x14ac:dyDescent="0.25">
      <c r="A2" t="s">
        <v>160</v>
      </c>
    </row>
    <row r="3" spans="1:31" x14ac:dyDescent="0.25">
      <c r="A3" t="s">
        <v>299</v>
      </c>
      <c r="B3" t="s">
        <v>0</v>
      </c>
      <c r="C3" t="s">
        <v>208</v>
      </c>
      <c r="D3" t="s">
        <v>209</v>
      </c>
      <c r="E3" t="s">
        <v>210</v>
      </c>
      <c r="F3" t="s">
        <v>211</v>
      </c>
      <c r="G3" t="s">
        <v>212</v>
      </c>
      <c r="H3" t="s">
        <v>213</v>
      </c>
      <c r="I3" t="s">
        <v>214</v>
      </c>
      <c r="J3" t="s">
        <v>215</v>
      </c>
      <c r="K3" t="s">
        <v>216</v>
      </c>
      <c r="L3" t="s">
        <v>217</v>
      </c>
      <c r="M3" t="s">
        <v>218</v>
      </c>
      <c r="N3" t="s">
        <v>219</v>
      </c>
      <c r="O3" t="s">
        <v>220</v>
      </c>
      <c r="P3" t="s">
        <v>221</v>
      </c>
      <c r="Q3" t="s">
        <v>169</v>
      </c>
      <c r="R3" t="s">
        <v>222</v>
      </c>
      <c r="S3" t="s">
        <v>223</v>
      </c>
      <c r="T3" t="s">
        <v>224</v>
      </c>
      <c r="U3" t="s">
        <v>225</v>
      </c>
      <c r="V3" t="s">
        <v>226</v>
      </c>
      <c r="W3" t="s">
        <v>227</v>
      </c>
      <c r="X3" t="s">
        <v>228</v>
      </c>
      <c r="Y3" t="s">
        <v>229</v>
      </c>
      <c r="Z3" t="s">
        <v>230</v>
      </c>
      <c r="AA3" t="s">
        <v>231</v>
      </c>
      <c r="AB3" t="s">
        <v>232</v>
      </c>
      <c r="AC3" t="s">
        <v>233</v>
      </c>
      <c r="AD3" t="s">
        <v>234</v>
      </c>
      <c r="AE3" t="s">
        <v>305</v>
      </c>
    </row>
    <row r="4" spans="1:31" x14ac:dyDescent="0.25">
      <c r="A4" t="s">
        <v>300</v>
      </c>
      <c r="B4" t="s">
        <v>0</v>
      </c>
      <c r="C4" t="s">
        <v>208</v>
      </c>
      <c r="D4" t="s">
        <v>209</v>
      </c>
      <c r="E4" t="s">
        <v>210</v>
      </c>
      <c r="F4" t="s">
        <v>211</v>
      </c>
      <c r="G4" t="s">
        <v>212</v>
      </c>
      <c r="H4" t="s">
        <v>213</v>
      </c>
      <c r="I4" t="s">
        <v>214</v>
      </c>
      <c r="J4" t="s">
        <v>215</v>
      </c>
      <c r="K4" t="s">
        <v>216</v>
      </c>
      <c r="L4" t="s">
        <v>217</v>
      </c>
      <c r="M4" t="s">
        <v>218</v>
      </c>
      <c r="N4" t="s">
        <v>219</v>
      </c>
      <c r="O4" t="s">
        <v>220</v>
      </c>
      <c r="P4" t="s">
        <v>221</v>
      </c>
      <c r="Q4" t="s">
        <v>169</v>
      </c>
      <c r="R4" t="s">
        <v>222</v>
      </c>
      <c r="S4" t="s">
        <v>223</v>
      </c>
      <c r="T4" t="s">
        <v>224</v>
      </c>
      <c r="U4" t="s">
        <v>225</v>
      </c>
      <c r="V4" t="s">
        <v>226</v>
      </c>
      <c r="W4" t="s">
        <v>227</v>
      </c>
      <c r="X4" t="s">
        <v>228</v>
      </c>
      <c r="Y4" t="s">
        <v>229</v>
      </c>
      <c r="Z4" t="s">
        <v>230</v>
      </c>
      <c r="AA4" t="s">
        <v>231</v>
      </c>
      <c r="AB4" t="s">
        <v>232</v>
      </c>
      <c r="AC4" t="s">
        <v>233</v>
      </c>
      <c r="AD4" t="s">
        <v>234</v>
      </c>
      <c r="AE4" t="s">
        <v>305</v>
      </c>
    </row>
    <row r="5" spans="1:31" x14ac:dyDescent="0.25">
      <c r="H5" s="1"/>
      <c r="I5" s="1"/>
      <c r="AE5" t="str">
        <f>SUBSTITUTE(POINT[[#This Row],[Offset]],"'","")</f>
        <v/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8C50-EC32-48DB-A40C-BF6336478A7D}">
  <sheetPr codeName="Sheet34"/>
  <dimension ref="A1:T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10.5703125" customWidth="1"/>
    <col min="3" max="3" width="9.42578125" customWidth="1"/>
    <col min="5" max="5" width="9.7109375" customWidth="1"/>
    <col min="6" max="6" width="12" customWidth="1"/>
    <col min="8" max="8" width="10.42578125" customWidth="1"/>
    <col min="9" max="9" width="11.140625" customWidth="1"/>
    <col min="10" max="10" width="22" customWidth="1"/>
    <col min="11" max="11" width="17.7109375" customWidth="1"/>
    <col min="12" max="12" width="13" customWidth="1"/>
    <col min="13" max="13" width="14.5703125" customWidth="1"/>
    <col min="14" max="14" width="17.28515625" customWidth="1"/>
    <col min="15" max="15" width="24.28515625" customWidth="1"/>
    <col min="16" max="16" width="16.7109375" customWidth="1"/>
    <col min="17" max="17" width="24.42578125" customWidth="1"/>
    <col min="18" max="18" width="24.7109375" customWidth="1"/>
    <col min="19" max="19" width="17.140625" customWidth="1"/>
  </cols>
  <sheetData>
    <row r="1" spans="1:20" x14ac:dyDescent="0.25">
      <c r="A1" t="s">
        <v>298</v>
      </c>
    </row>
    <row r="2" spans="1:20" x14ac:dyDescent="0.25">
      <c r="A2" t="s">
        <v>160</v>
      </c>
    </row>
    <row r="3" spans="1:20" x14ac:dyDescent="0.25">
      <c r="A3" t="s">
        <v>299</v>
      </c>
      <c r="B3" t="s">
        <v>235</v>
      </c>
      <c r="C3" t="s">
        <v>236</v>
      </c>
      <c r="D3" t="s">
        <v>237</v>
      </c>
      <c r="E3" t="s">
        <v>238</v>
      </c>
      <c r="F3" t="s">
        <v>239</v>
      </c>
      <c r="G3" t="s">
        <v>155</v>
      </c>
      <c r="H3" t="s">
        <v>240</v>
      </c>
      <c r="I3" t="s">
        <v>208</v>
      </c>
      <c r="J3" t="s">
        <v>209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233</v>
      </c>
      <c r="Q3" t="s">
        <v>246</v>
      </c>
      <c r="R3" t="s">
        <v>247</v>
      </c>
      <c r="S3" t="s">
        <v>248</v>
      </c>
      <c r="T3" t="s">
        <v>249</v>
      </c>
    </row>
    <row r="4" spans="1:20" x14ac:dyDescent="0.25">
      <c r="A4" t="s">
        <v>300</v>
      </c>
      <c r="B4" t="s">
        <v>235</v>
      </c>
      <c r="C4" t="s">
        <v>236</v>
      </c>
      <c r="D4" t="s">
        <v>237</v>
      </c>
      <c r="E4" t="s">
        <v>238</v>
      </c>
      <c r="F4" t="s">
        <v>239</v>
      </c>
      <c r="G4" t="s">
        <v>155</v>
      </c>
      <c r="H4" t="s">
        <v>240</v>
      </c>
      <c r="I4" t="s">
        <v>208</v>
      </c>
      <c r="J4" t="s">
        <v>209</v>
      </c>
      <c r="K4" t="s">
        <v>241</v>
      </c>
      <c r="L4" t="s">
        <v>242</v>
      </c>
      <c r="M4" t="s">
        <v>243</v>
      </c>
      <c r="N4" t="s">
        <v>244</v>
      </c>
      <c r="O4" t="s">
        <v>245</v>
      </c>
      <c r="P4" t="s">
        <v>233</v>
      </c>
      <c r="Q4" t="s">
        <v>246</v>
      </c>
      <c r="R4" t="s">
        <v>247</v>
      </c>
      <c r="S4" t="s">
        <v>248</v>
      </c>
      <c r="T4" t="s">
        <v>249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6527-B7C5-4B06-AAC8-404BE72E577D}">
  <sheetPr codeName="Sheet35"/>
  <dimension ref="A1:K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6" customWidth="1"/>
    <col min="5" max="5" width="11.28515625" customWidth="1"/>
    <col min="6" max="6" width="13.28515625" customWidth="1"/>
    <col min="10" max="10" width="11.42578125" customWidth="1"/>
  </cols>
  <sheetData>
    <row r="1" spans="1:11" x14ac:dyDescent="0.25">
      <c r="A1" t="s">
        <v>298</v>
      </c>
    </row>
    <row r="2" spans="1:11" x14ac:dyDescent="0.25">
      <c r="A2" t="s">
        <v>160</v>
      </c>
    </row>
    <row r="3" spans="1:11" x14ac:dyDescent="0.25">
      <c r="A3" t="s">
        <v>299</v>
      </c>
      <c r="B3" t="s">
        <v>0</v>
      </c>
      <c r="C3" t="s">
        <v>5</v>
      </c>
      <c r="D3" t="s">
        <v>53</v>
      </c>
      <c r="E3" t="s">
        <v>250</v>
      </c>
      <c r="F3" t="s">
        <v>111</v>
      </c>
      <c r="G3" t="s">
        <v>251</v>
      </c>
      <c r="H3" t="s">
        <v>252</v>
      </c>
      <c r="I3" t="s">
        <v>253</v>
      </c>
      <c r="J3" t="s">
        <v>57</v>
      </c>
      <c r="K3" t="s">
        <v>254</v>
      </c>
    </row>
    <row r="4" spans="1:11" x14ac:dyDescent="0.25">
      <c r="A4" t="s">
        <v>300</v>
      </c>
      <c r="B4" t="s">
        <v>0</v>
      </c>
      <c r="C4" t="s">
        <v>5</v>
      </c>
      <c r="D4" t="s">
        <v>53</v>
      </c>
      <c r="E4" t="s">
        <v>250</v>
      </c>
      <c r="F4" t="s">
        <v>111</v>
      </c>
      <c r="G4" t="s">
        <v>251</v>
      </c>
      <c r="H4" t="s">
        <v>252</v>
      </c>
      <c r="I4" t="s">
        <v>253</v>
      </c>
      <c r="J4" t="s">
        <v>57</v>
      </c>
      <c r="K4" t="s">
        <v>254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9D00D-006D-4C54-A180-D828D9E8AC3F}">
  <sheetPr codeName="Sheet36"/>
  <dimension ref="A1:U5"/>
  <sheetViews>
    <sheetView tabSelected="1" workbookViewId="0">
      <selection activeCell="E11" sqref="E11"/>
    </sheetView>
  </sheetViews>
  <sheetFormatPr defaultRowHeight="15" x14ac:dyDescent="0.25"/>
  <cols>
    <col min="1" max="1" width="12" customWidth="1"/>
    <col min="2" max="2" width="9.7109375" customWidth="1"/>
    <col min="5" max="5" width="17.7109375" customWidth="1"/>
    <col min="7" max="7" width="11.140625" customWidth="1"/>
    <col min="8" max="8" width="11.42578125" customWidth="1"/>
    <col min="9" max="9" width="12.140625" customWidth="1"/>
    <col min="10" max="11" width="11.7109375" customWidth="1"/>
    <col min="12" max="12" width="12.85546875" customWidth="1"/>
    <col min="13" max="13" width="13.42578125" customWidth="1"/>
    <col min="14" max="14" width="15.28515625" customWidth="1"/>
    <col min="16" max="16" width="10.7109375" customWidth="1"/>
  </cols>
  <sheetData>
    <row r="1" spans="1:21" x14ac:dyDescent="0.25">
      <c r="A1" t="s">
        <v>298</v>
      </c>
    </row>
    <row r="2" spans="1:21" x14ac:dyDescent="0.25">
      <c r="A2" t="s">
        <v>160</v>
      </c>
    </row>
    <row r="3" spans="1:21" x14ac:dyDescent="0.25">
      <c r="A3" t="s">
        <v>299</v>
      </c>
      <c r="B3" t="s">
        <v>0</v>
      </c>
      <c r="C3" t="s">
        <v>5</v>
      </c>
      <c r="D3" t="s">
        <v>254</v>
      </c>
      <c r="E3" t="s">
        <v>255</v>
      </c>
      <c r="F3" t="s">
        <v>155</v>
      </c>
      <c r="G3" t="s">
        <v>256</v>
      </c>
      <c r="H3" t="s">
        <v>257</v>
      </c>
      <c r="I3" t="s">
        <v>258</v>
      </c>
      <c r="J3" t="s">
        <v>259</v>
      </c>
      <c r="K3" t="s">
        <v>260</v>
      </c>
      <c r="L3" t="s">
        <v>261</v>
      </c>
      <c r="M3" t="s">
        <v>262</v>
      </c>
      <c r="N3" t="s">
        <v>263</v>
      </c>
      <c r="O3" t="s">
        <v>264</v>
      </c>
      <c r="P3" t="s">
        <v>265</v>
      </c>
      <c r="Q3" s="2" t="s">
        <v>306</v>
      </c>
      <c r="R3" t="s">
        <v>307</v>
      </c>
      <c r="S3" t="s">
        <v>308</v>
      </c>
      <c r="T3" t="s">
        <v>309</v>
      </c>
      <c r="U3" t="s">
        <v>310</v>
      </c>
    </row>
    <row r="4" spans="1:21" x14ac:dyDescent="0.25">
      <c r="A4" t="s">
        <v>300</v>
      </c>
      <c r="B4" t="s">
        <v>0</v>
      </c>
      <c r="C4" t="s">
        <v>5</v>
      </c>
      <c r="D4" t="s">
        <v>254</v>
      </c>
      <c r="E4" t="s">
        <v>255</v>
      </c>
      <c r="F4" t="s">
        <v>155</v>
      </c>
      <c r="G4" t="s">
        <v>256</v>
      </c>
      <c r="H4" t="s">
        <v>257</v>
      </c>
      <c r="I4" t="s">
        <v>258</v>
      </c>
      <c r="J4" t="s">
        <v>259</v>
      </c>
      <c r="K4" t="s">
        <v>260</v>
      </c>
      <c r="L4" t="s">
        <v>261</v>
      </c>
      <c r="M4" t="s">
        <v>262</v>
      </c>
      <c r="N4" t="s">
        <v>263</v>
      </c>
      <c r="O4" t="s">
        <v>264</v>
      </c>
      <c r="P4" t="s">
        <v>265</v>
      </c>
      <c r="Q4" t="s">
        <v>306</v>
      </c>
      <c r="R4" t="s">
        <v>307</v>
      </c>
      <c r="S4" t="s">
        <v>308</v>
      </c>
      <c r="T4" t="s">
        <v>309</v>
      </c>
      <c r="U4" t="s">
        <v>310</v>
      </c>
    </row>
    <row r="5" spans="1:21" x14ac:dyDescent="0.25">
      <c r="C5" s="4"/>
      <c r="Q5" t="str">
        <f>IF(SAMPLE[[#This Row],[Blows 3rd]]&lt;&gt;"",SAMPLE[[#This Row],[Blows 2nd]]+SAMPLE[[#This Row],[Blows 3rd]],"")</f>
        <v/>
      </c>
      <c r="R5">
        <f>SAMPLE[[#This Row],[Depth]]+(SAMPLE[[#This Row],[Length]]/12)</f>
        <v>0</v>
      </c>
      <c r="S5">
        <f>IF(SAMPLE[[#This Row],[Length]]&gt;6,6,SAMPLE[[#This Row],[Length]])</f>
        <v>0</v>
      </c>
      <c r="T5">
        <f>IF(SAMPLE[[#This Row],[Length]]&gt;12,6,SAMPLE[[#This Row],[Length]]-6)</f>
        <v>-6</v>
      </c>
      <c r="U5">
        <f>IF(SAMPLE[[#This Row],[Length]]=18,6,SAMPLE[[#This Row],[Length]]-12)</f>
        <v>-12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331B6-FDCC-4EAC-9B9A-46EC1FC7DE07}">
  <sheetPr codeName="Sheet37"/>
  <dimension ref="A1:B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10.5703125" customWidth="1"/>
  </cols>
  <sheetData>
    <row r="1" spans="1:2" x14ac:dyDescent="0.25">
      <c r="A1" t="s">
        <v>298</v>
      </c>
    </row>
    <row r="2" spans="1:2" x14ac:dyDescent="0.25">
      <c r="A2" t="s">
        <v>160</v>
      </c>
    </row>
    <row r="3" spans="1:2" x14ac:dyDescent="0.25">
      <c r="A3" t="s">
        <v>299</v>
      </c>
      <c r="B3" t="s">
        <v>1</v>
      </c>
    </row>
    <row r="4" spans="1:2" x14ac:dyDescent="0.25">
      <c r="A4" t="s">
        <v>300</v>
      </c>
      <c r="B4" t="s">
        <v>1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6A826-3E04-4E44-A6FB-847DA42F76C0}">
  <sheetPr codeName="Sheet38"/>
  <dimension ref="A1:S4"/>
  <sheetViews>
    <sheetView workbookViewId="0">
      <selection activeCell="A6" sqref="A6:XFD12"/>
    </sheetView>
  </sheetViews>
  <sheetFormatPr defaultRowHeight="15" x14ac:dyDescent="0.25"/>
  <cols>
    <col min="1" max="1" width="12" customWidth="1"/>
    <col min="2" max="2" width="9.7109375" customWidth="1"/>
    <col min="4" max="4" width="16.42578125" customWidth="1"/>
    <col min="5" max="5" width="24.28515625" customWidth="1"/>
    <col min="6" max="6" width="18.5703125" customWidth="1"/>
    <col min="7" max="7" width="17.5703125" customWidth="1"/>
    <col min="8" max="8" width="19.85546875" customWidth="1"/>
    <col min="9" max="9" width="25.140625" customWidth="1"/>
    <col min="10" max="10" width="23" customWidth="1"/>
    <col min="11" max="11" width="19.7109375" customWidth="1"/>
    <col min="12" max="12" width="18.85546875" customWidth="1"/>
    <col min="13" max="13" width="19.7109375" customWidth="1"/>
    <col min="14" max="14" width="21.7109375" customWidth="1"/>
    <col min="15" max="15" width="23.85546875" customWidth="1"/>
    <col min="16" max="16" width="21" customWidth="1"/>
    <col min="17" max="18" width="21.85546875" customWidth="1"/>
    <col min="19" max="19" width="21" customWidth="1"/>
  </cols>
  <sheetData>
    <row r="1" spans="1:19" x14ac:dyDescent="0.25">
      <c r="A1" t="s">
        <v>298</v>
      </c>
    </row>
    <row r="2" spans="1:19" x14ac:dyDescent="0.25">
      <c r="A2" t="s">
        <v>160</v>
      </c>
    </row>
    <row r="3" spans="1:19" x14ac:dyDescent="0.25">
      <c r="A3" t="s">
        <v>299</v>
      </c>
      <c r="B3" t="s">
        <v>0</v>
      </c>
      <c r="C3" t="s">
        <v>5</v>
      </c>
      <c r="D3" t="s">
        <v>266</v>
      </c>
      <c r="E3" t="s">
        <v>267</v>
      </c>
      <c r="F3" t="s">
        <v>268</v>
      </c>
      <c r="G3" t="s">
        <v>269</v>
      </c>
      <c r="H3" t="s">
        <v>270</v>
      </c>
      <c r="I3" t="s">
        <v>271</v>
      </c>
      <c r="J3" t="s">
        <v>272</v>
      </c>
      <c r="K3" t="s">
        <v>273</v>
      </c>
      <c r="L3" t="s">
        <v>274</v>
      </c>
      <c r="M3" t="s">
        <v>275</v>
      </c>
      <c r="N3" t="s">
        <v>276</v>
      </c>
      <c r="O3" t="s">
        <v>277</v>
      </c>
      <c r="P3" t="s">
        <v>278</v>
      </c>
      <c r="Q3" t="s">
        <v>279</v>
      </c>
      <c r="R3" t="s">
        <v>280</v>
      </c>
      <c r="S3" t="s">
        <v>281</v>
      </c>
    </row>
    <row r="4" spans="1:19" x14ac:dyDescent="0.25">
      <c r="A4" t="s">
        <v>300</v>
      </c>
      <c r="B4" t="s">
        <v>0</v>
      </c>
      <c r="C4" t="s">
        <v>5</v>
      </c>
      <c r="D4" t="s">
        <v>266</v>
      </c>
      <c r="E4" t="s">
        <v>267</v>
      </c>
      <c r="F4" t="s">
        <v>268</v>
      </c>
      <c r="G4" t="s">
        <v>269</v>
      </c>
      <c r="H4" t="s">
        <v>270</v>
      </c>
      <c r="I4" t="s">
        <v>271</v>
      </c>
      <c r="J4" t="s">
        <v>272</v>
      </c>
      <c r="K4" t="s">
        <v>273</v>
      </c>
      <c r="L4" t="s">
        <v>274</v>
      </c>
      <c r="M4" t="s">
        <v>275</v>
      </c>
      <c r="N4" t="s">
        <v>276</v>
      </c>
      <c r="O4" t="s">
        <v>277</v>
      </c>
      <c r="P4" t="s">
        <v>278</v>
      </c>
      <c r="Q4" t="s">
        <v>279</v>
      </c>
      <c r="R4" t="s">
        <v>280</v>
      </c>
      <c r="S4" t="s">
        <v>281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AE2F4-22A6-4D96-8449-133719D64104}">
  <sheetPr codeName="Sheet39"/>
  <dimension ref="A1:G4"/>
  <sheetViews>
    <sheetView workbookViewId="0">
      <selection activeCell="A6" sqref="A6:XFD49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6" max="6" width="11.28515625" customWidth="1"/>
    <col min="7" max="7" width="15.5703125" customWidth="1"/>
  </cols>
  <sheetData>
    <row r="1" spans="1:7" x14ac:dyDescent="0.25">
      <c r="A1" t="s">
        <v>298</v>
      </c>
    </row>
    <row r="2" spans="1:7" x14ac:dyDescent="0.25">
      <c r="A2" t="s">
        <v>160</v>
      </c>
    </row>
    <row r="3" spans="1:7" x14ac:dyDescent="0.25">
      <c r="A3" t="s">
        <v>299</v>
      </c>
      <c r="B3" t="s">
        <v>0</v>
      </c>
      <c r="C3" t="s">
        <v>5</v>
      </c>
      <c r="D3" t="s">
        <v>6</v>
      </c>
      <c r="E3" t="s">
        <v>282</v>
      </c>
      <c r="F3" t="s">
        <v>283</v>
      </c>
      <c r="G3" t="s">
        <v>150</v>
      </c>
    </row>
    <row r="4" spans="1:7" x14ac:dyDescent="0.25">
      <c r="A4" t="s">
        <v>300</v>
      </c>
      <c r="B4" t="s">
        <v>0</v>
      </c>
      <c r="C4" t="s">
        <v>5</v>
      </c>
      <c r="D4" t="s">
        <v>6</v>
      </c>
      <c r="E4" t="s">
        <v>282</v>
      </c>
      <c r="F4" t="s">
        <v>283</v>
      </c>
      <c r="G4" t="s">
        <v>150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95403-2D39-46D6-A41E-12611DC778DA}">
  <sheetPr codeName="Sheet40"/>
  <dimension ref="A1:I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0.28515625" customWidth="1"/>
    <col min="5" max="5" width="15.42578125" customWidth="1"/>
    <col min="6" max="6" width="20.5703125" customWidth="1"/>
    <col min="8" max="8" width="11.140625" customWidth="1"/>
  </cols>
  <sheetData>
    <row r="1" spans="1:9" x14ac:dyDescent="0.25">
      <c r="A1" t="s">
        <v>298</v>
      </c>
    </row>
    <row r="2" spans="1:9" x14ac:dyDescent="0.25">
      <c r="A2" t="s">
        <v>160</v>
      </c>
    </row>
    <row r="3" spans="1:9" x14ac:dyDescent="0.25">
      <c r="A3" t="s">
        <v>299</v>
      </c>
      <c r="B3" t="s">
        <v>0</v>
      </c>
      <c r="C3" t="s">
        <v>5</v>
      </c>
      <c r="D3" t="s">
        <v>6</v>
      </c>
      <c r="E3" t="s">
        <v>284</v>
      </c>
      <c r="F3" t="s">
        <v>285</v>
      </c>
      <c r="G3" t="s">
        <v>40</v>
      </c>
      <c r="H3" t="s">
        <v>286</v>
      </c>
      <c r="I3" t="s">
        <v>43</v>
      </c>
    </row>
    <row r="4" spans="1:9" x14ac:dyDescent="0.25">
      <c r="A4" t="s">
        <v>300</v>
      </c>
      <c r="B4" t="s">
        <v>0</v>
      </c>
      <c r="C4" t="s">
        <v>5</v>
      </c>
      <c r="D4" t="s">
        <v>6</v>
      </c>
      <c r="E4" t="s">
        <v>284</v>
      </c>
      <c r="F4" t="s">
        <v>285</v>
      </c>
      <c r="G4" t="s">
        <v>40</v>
      </c>
      <c r="H4" t="s">
        <v>286</v>
      </c>
      <c r="I4" t="s">
        <v>43</v>
      </c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C25-9E29-40E3-9785-E2B475E9D27B}">
  <sheetPr codeName="Sheet41"/>
  <dimension ref="A1:AA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4" max="4" width="16" customWidth="1"/>
    <col min="5" max="5" width="10.7109375" customWidth="1"/>
    <col min="6" max="6" width="18.42578125" customWidth="1"/>
    <col min="7" max="7" width="12.140625" customWidth="1"/>
    <col min="8" max="8" width="14.28515625" customWidth="1"/>
    <col min="9" max="9" width="14.140625" customWidth="1"/>
    <col min="10" max="10" width="15.140625" customWidth="1"/>
    <col min="11" max="11" width="18.140625" customWidth="1"/>
    <col min="12" max="12" width="13.5703125" customWidth="1"/>
    <col min="13" max="13" width="20" customWidth="1"/>
    <col min="14" max="14" width="11.42578125" customWidth="1"/>
    <col min="15" max="15" width="13.5703125" customWidth="1"/>
    <col min="17" max="17" width="11.140625" customWidth="1"/>
    <col min="18" max="18" width="12.7109375" customWidth="1"/>
    <col min="20" max="20" width="14.7109375" customWidth="1"/>
    <col min="21" max="21" width="13.85546875" customWidth="1"/>
    <col min="22" max="22" width="16.85546875" customWidth="1"/>
    <col min="23" max="23" width="15.85546875" customWidth="1"/>
    <col min="24" max="24" width="10.7109375" customWidth="1"/>
    <col min="25" max="25" width="14.85546875" customWidth="1"/>
    <col min="26" max="26" width="14" customWidth="1"/>
    <col min="27" max="27" width="14.85546875" customWidth="1"/>
  </cols>
  <sheetData>
    <row r="1" spans="1:27" x14ac:dyDescent="0.25">
      <c r="A1" t="s">
        <v>298</v>
      </c>
    </row>
    <row r="2" spans="1:27" x14ac:dyDescent="0.25">
      <c r="A2" t="s">
        <v>160</v>
      </c>
    </row>
    <row r="3" spans="1:27" x14ac:dyDescent="0.25">
      <c r="A3" t="s">
        <v>299</v>
      </c>
      <c r="B3" t="s">
        <v>0</v>
      </c>
      <c r="C3" t="s">
        <v>5</v>
      </c>
      <c r="D3" t="s">
        <v>53</v>
      </c>
      <c r="E3" t="s">
        <v>287</v>
      </c>
      <c r="F3" t="s">
        <v>288</v>
      </c>
      <c r="G3" t="s">
        <v>289</v>
      </c>
      <c r="H3" t="s">
        <v>204</v>
      </c>
      <c r="I3" t="s">
        <v>205</v>
      </c>
      <c r="J3" t="s">
        <v>206</v>
      </c>
      <c r="K3" t="s">
        <v>55</v>
      </c>
      <c r="L3" t="s">
        <v>290</v>
      </c>
      <c r="M3" t="s">
        <v>291</v>
      </c>
      <c r="N3" t="s">
        <v>57</v>
      </c>
      <c r="O3" t="s">
        <v>58</v>
      </c>
      <c r="P3" t="s">
        <v>59</v>
      </c>
      <c r="Q3" t="s">
        <v>60</v>
      </c>
      <c r="R3" t="s">
        <v>292</v>
      </c>
      <c r="S3" t="s">
        <v>84</v>
      </c>
      <c r="T3" t="s">
        <v>32</v>
      </c>
      <c r="U3" t="s">
        <v>33</v>
      </c>
      <c r="V3" t="s">
        <v>11</v>
      </c>
      <c r="W3" t="s">
        <v>61</v>
      </c>
      <c r="X3" t="s">
        <v>62</v>
      </c>
      <c r="Y3" t="s">
        <v>7</v>
      </c>
      <c r="Z3" t="s">
        <v>8</v>
      </c>
      <c r="AA3" t="s">
        <v>9</v>
      </c>
    </row>
    <row r="4" spans="1:27" x14ac:dyDescent="0.25">
      <c r="A4" t="s">
        <v>300</v>
      </c>
      <c r="B4" t="s">
        <v>0</v>
      </c>
      <c r="C4" t="s">
        <v>5</v>
      </c>
      <c r="D4" t="s">
        <v>53</v>
      </c>
      <c r="E4" t="s">
        <v>287</v>
      </c>
      <c r="F4" t="s">
        <v>288</v>
      </c>
      <c r="G4" t="s">
        <v>289</v>
      </c>
      <c r="H4" t="s">
        <v>204</v>
      </c>
      <c r="I4" t="s">
        <v>205</v>
      </c>
      <c r="J4" t="s">
        <v>206</v>
      </c>
      <c r="K4" t="s">
        <v>55</v>
      </c>
      <c r="L4" t="s">
        <v>290</v>
      </c>
      <c r="M4" t="s">
        <v>291</v>
      </c>
      <c r="N4" t="s">
        <v>57</v>
      </c>
      <c r="O4" t="s">
        <v>58</v>
      </c>
      <c r="P4" t="s">
        <v>59</v>
      </c>
      <c r="Q4" t="s">
        <v>60</v>
      </c>
      <c r="R4" t="s">
        <v>292</v>
      </c>
      <c r="S4" t="s">
        <v>84</v>
      </c>
      <c r="T4" t="s">
        <v>32</v>
      </c>
      <c r="U4" t="s">
        <v>33</v>
      </c>
      <c r="V4" t="s">
        <v>11</v>
      </c>
      <c r="W4" t="s">
        <v>61</v>
      </c>
      <c r="X4" t="s">
        <v>62</v>
      </c>
      <c r="Y4" t="s">
        <v>7</v>
      </c>
      <c r="Z4" t="s">
        <v>8</v>
      </c>
      <c r="AA4" t="s">
        <v>9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B3114-6243-44E5-AA95-E2A41C1ECA71}">
  <sheetPr codeName="Sheet42"/>
  <dimension ref="A1:I4"/>
  <sheetViews>
    <sheetView workbookViewId="0">
      <selection activeCell="B5" sqref="B5"/>
    </sheetView>
  </sheetViews>
  <sheetFormatPr defaultRowHeight="15" x14ac:dyDescent="0.25"/>
  <cols>
    <col min="1" max="1" width="12" customWidth="1"/>
    <col min="2" max="2" width="9.7109375" customWidth="1"/>
    <col min="3" max="3" width="10.5703125" customWidth="1"/>
    <col min="4" max="4" width="12.5703125" customWidth="1"/>
    <col min="5" max="5" width="13.28515625" customWidth="1"/>
    <col min="6" max="6" width="12.28515625" customWidth="1"/>
  </cols>
  <sheetData>
    <row r="1" spans="1:9" x14ac:dyDescent="0.25">
      <c r="A1" t="s">
        <v>298</v>
      </c>
    </row>
    <row r="2" spans="1:9" x14ac:dyDescent="0.25">
      <c r="A2" t="s">
        <v>160</v>
      </c>
    </row>
    <row r="3" spans="1:9" x14ac:dyDescent="0.25">
      <c r="A3" t="s">
        <v>299</v>
      </c>
      <c r="B3" t="s">
        <v>0</v>
      </c>
      <c r="C3" t="s">
        <v>1</v>
      </c>
      <c r="D3" t="s">
        <v>293</v>
      </c>
      <c r="E3" t="s">
        <v>294</v>
      </c>
      <c r="F3" t="s">
        <v>295</v>
      </c>
      <c r="G3" t="s">
        <v>5</v>
      </c>
      <c r="H3" t="s">
        <v>296</v>
      </c>
      <c r="I3" t="s">
        <v>160</v>
      </c>
    </row>
    <row r="4" spans="1:9" x14ac:dyDescent="0.25">
      <c r="A4" t="s">
        <v>300</v>
      </c>
      <c r="B4" t="s">
        <v>0</v>
      </c>
      <c r="C4" t="s">
        <v>1</v>
      </c>
      <c r="D4" t="s">
        <v>293</v>
      </c>
      <c r="E4" t="s">
        <v>294</v>
      </c>
      <c r="F4" t="s">
        <v>295</v>
      </c>
      <c r="G4" t="s">
        <v>5</v>
      </c>
      <c r="H4" t="s">
        <v>296</v>
      </c>
      <c r="I4" t="s">
        <v>160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78679-D6CF-40D2-831D-4CA83CCAAFE9}">
  <sheetPr codeName="Sheet43"/>
  <dimension ref="A1:M4"/>
  <sheetViews>
    <sheetView workbookViewId="0">
      <selection activeCell="A6" sqref="A6:XFD26"/>
    </sheetView>
  </sheetViews>
  <sheetFormatPr defaultRowHeight="15" x14ac:dyDescent="0.25"/>
  <cols>
    <col min="1" max="1" width="12" customWidth="1"/>
    <col min="2" max="2" width="9.7109375" customWidth="1"/>
    <col min="4" max="4" width="14.85546875" customWidth="1"/>
    <col min="5" max="5" width="14" customWidth="1"/>
    <col min="6" max="6" width="14.85546875" customWidth="1"/>
    <col min="7" max="7" width="16.85546875" customWidth="1"/>
    <col min="8" max="8" width="11.42578125" customWidth="1"/>
    <col min="10" max="10" width="15.85546875" customWidth="1"/>
    <col min="11" max="11" width="10.7109375" customWidth="1"/>
    <col min="12" max="12" width="14.7109375" customWidth="1"/>
    <col min="13" max="13" width="13.85546875" customWidth="1"/>
  </cols>
  <sheetData>
    <row r="1" spans="1:13" x14ac:dyDescent="0.25">
      <c r="A1" t="s">
        <v>298</v>
      </c>
    </row>
    <row r="2" spans="1:13" x14ac:dyDescent="0.25">
      <c r="A2" t="s">
        <v>160</v>
      </c>
    </row>
    <row r="3" spans="1:13" x14ac:dyDescent="0.25">
      <c r="A3" t="s">
        <v>299</v>
      </c>
      <c r="B3" t="s">
        <v>0</v>
      </c>
      <c r="C3" t="s">
        <v>5</v>
      </c>
      <c r="D3" t="s">
        <v>7</v>
      </c>
      <c r="E3" t="s">
        <v>8</v>
      </c>
      <c r="F3" t="s">
        <v>9</v>
      </c>
      <c r="G3" t="s">
        <v>11</v>
      </c>
      <c r="H3" t="s">
        <v>57</v>
      </c>
      <c r="I3" t="s">
        <v>59</v>
      </c>
      <c r="J3" t="s">
        <v>61</v>
      </c>
      <c r="K3" t="s">
        <v>62</v>
      </c>
      <c r="L3" t="s">
        <v>32</v>
      </c>
      <c r="M3" t="s">
        <v>33</v>
      </c>
    </row>
    <row r="4" spans="1:13" x14ac:dyDescent="0.25">
      <c r="A4" t="s">
        <v>300</v>
      </c>
      <c r="B4" t="s">
        <v>0</v>
      </c>
      <c r="C4" t="s">
        <v>5</v>
      </c>
      <c r="D4" t="s">
        <v>7</v>
      </c>
      <c r="E4" t="s">
        <v>8</v>
      </c>
      <c r="F4" t="s">
        <v>9</v>
      </c>
      <c r="G4" t="s">
        <v>11</v>
      </c>
      <c r="H4" t="s">
        <v>57</v>
      </c>
      <c r="I4" t="s">
        <v>59</v>
      </c>
      <c r="J4" t="s">
        <v>61</v>
      </c>
      <c r="K4" t="s">
        <v>62</v>
      </c>
      <c r="L4" t="s">
        <v>32</v>
      </c>
      <c r="M4" t="s">
        <v>33</v>
      </c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037C-6D52-478B-81B7-11B35F866B73}">
  <sheetPr codeName="Sheet44"/>
  <dimension ref="A1:E4"/>
  <sheetViews>
    <sheetView workbookViewId="0">
      <selection activeCell="A6" sqref="A6:XFD15"/>
    </sheetView>
  </sheetViews>
  <sheetFormatPr defaultRowHeight="15" x14ac:dyDescent="0.25"/>
  <cols>
    <col min="1" max="1" width="12" customWidth="1"/>
    <col min="2" max="2" width="9.7109375" customWidth="1"/>
    <col min="4" max="4" width="9.7109375" customWidth="1"/>
    <col min="5" max="5" width="10" customWidth="1"/>
  </cols>
  <sheetData>
    <row r="1" spans="1:5" x14ac:dyDescent="0.25">
      <c r="A1" t="s">
        <v>298</v>
      </c>
    </row>
    <row r="2" spans="1:5" x14ac:dyDescent="0.25">
      <c r="A2" t="s">
        <v>160</v>
      </c>
    </row>
    <row r="3" spans="1:5" x14ac:dyDescent="0.25">
      <c r="A3" t="s">
        <v>299</v>
      </c>
      <c r="B3" t="s">
        <v>0</v>
      </c>
      <c r="C3" t="s">
        <v>5</v>
      </c>
      <c r="D3" t="s">
        <v>180</v>
      </c>
      <c r="E3" t="s">
        <v>193</v>
      </c>
    </row>
    <row r="4" spans="1:5" x14ac:dyDescent="0.25">
      <c r="A4" t="s">
        <v>300</v>
      </c>
      <c r="B4" t="s">
        <v>0</v>
      </c>
      <c r="C4" t="s">
        <v>5</v>
      </c>
      <c r="D4" t="s">
        <v>180</v>
      </c>
      <c r="E4" t="s">
        <v>193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1FA5B-1A11-478B-B6B9-83AB1AD9AD81}">
  <sheetPr codeName="Sheet45"/>
  <dimension ref="A1:C4"/>
  <sheetViews>
    <sheetView workbookViewId="0">
      <selection activeCell="I22" sqref="I22"/>
    </sheetView>
  </sheetViews>
  <sheetFormatPr defaultRowHeight="15" x14ac:dyDescent="0.25"/>
  <cols>
    <col min="1" max="1" width="12" customWidth="1"/>
    <col min="2" max="2" width="9.7109375" customWidth="1"/>
    <col min="3" max="3" width="17.85546875" customWidth="1"/>
  </cols>
  <sheetData>
    <row r="1" spans="1:3" x14ac:dyDescent="0.25">
      <c r="A1" t="s">
        <v>298</v>
      </c>
    </row>
    <row r="2" spans="1:3" x14ac:dyDescent="0.25">
      <c r="A2" t="s">
        <v>160</v>
      </c>
    </row>
    <row r="3" spans="1:3" x14ac:dyDescent="0.25">
      <c r="A3" t="s">
        <v>299</v>
      </c>
      <c r="B3" t="s">
        <v>0</v>
      </c>
      <c r="C3" t="s">
        <v>297</v>
      </c>
    </row>
    <row r="4" spans="1:3" x14ac:dyDescent="0.25">
      <c r="A4" t="s">
        <v>300</v>
      </c>
      <c r="B4" t="s">
        <v>0</v>
      </c>
      <c r="C4" t="s">
        <v>297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ABANDONMENT</vt:lpstr>
      <vt:lpstr>ATTB READINGS</vt:lpstr>
      <vt:lpstr>ATTERBERG</vt:lpstr>
      <vt:lpstr>CLASSIFICATION FLAGS</vt:lpstr>
      <vt:lpstr>COMP READINGS</vt:lpstr>
      <vt:lpstr>COMPACTION</vt:lpstr>
      <vt:lpstr>CONSOL READINGS</vt:lpstr>
      <vt:lpstr>CONSOLIDATION</vt:lpstr>
      <vt:lpstr>DIRECT SHEAR</vt:lpstr>
      <vt:lpstr>DRILL OPERATOR</vt:lpstr>
      <vt:lpstr>DRILLING FIRM</vt:lpstr>
      <vt:lpstr>DRILLING NOTES</vt:lpstr>
      <vt:lpstr>DSHR READINGS</vt:lpstr>
      <vt:lpstr>FALL HEAD K</vt:lpstr>
      <vt:lpstr>FHK READINGS</vt:lpstr>
      <vt:lpstr>FINE SG</vt:lpstr>
      <vt:lpstr>FINE SG READINGS</vt:lpstr>
      <vt:lpstr>HAMMER</vt:lpstr>
      <vt:lpstr>HYD READINGS</vt:lpstr>
      <vt:lpstr>HYDROMETER</vt:lpstr>
      <vt:lpstr>HYDROMETER CALIBRATIONS</vt:lpstr>
      <vt:lpstr>INCLINOMETER INSTALLATION</vt:lpstr>
      <vt:lpstr>INCLINOMETER READINGS</vt:lpstr>
      <vt:lpstr>INCLINOMETER RESULTS</vt:lpstr>
      <vt:lpstr>INTERBEDDED ROCK</vt:lpstr>
      <vt:lpstr>LAB SPECIMEN</vt:lpstr>
      <vt:lpstr>LITHOLOGY</vt:lpstr>
      <vt:lpstr>LITHOLOGY ROCK</vt:lpstr>
      <vt:lpstr>LITHOLOGY SOIL</vt:lpstr>
      <vt:lpstr>LOAD RINGS</vt:lpstr>
      <vt:lpstr>LOGGED BY</vt:lpstr>
      <vt:lpstr>POINT</vt:lpstr>
      <vt:lpstr>PROJECT</vt:lpstr>
      <vt:lpstr>ROCK UNCONF COMPR</vt:lpstr>
      <vt:lpstr>SAMPLE</vt:lpstr>
      <vt:lpstr>SAMPLING FIRM</vt:lpstr>
      <vt:lpstr>SIEVE</vt:lpstr>
      <vt:lpstr>SV READINGS</vt:lpstr>
      <vt:lpstr>UNC READINGS</vt:lpstr>
      <vt:lpstr>UNCONF COMPR</vt:lpstr>
      <vt:lpstr>WATER LEVELS</vt:lpstr>
      <vt:lpstr>WC DENSITY</vt:lpstr>
      <vt:lpstr>WELL CONSTRUCTION</vt:lpstr>
      <vt:lpstr>WELL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Chandler</dc:creator>
  <cp:lastModifiedBy>Roger Chandler</cp:lastModifiedBy>
  <dcterms:created xsi:type="dcterms:W3CDTF">2019-02-06T19:08:22Z</dcterms:created>
  <dcterms:modified xsi:type="dcterms:W3CDTF">2019-02-15T15:20:01Z</dcterms:modified>
</cp:coreProperties>
</file>